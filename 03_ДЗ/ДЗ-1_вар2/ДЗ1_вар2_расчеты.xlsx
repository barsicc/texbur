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сходные данные" sheetId="1" state="visible" r:id="rId1"/>
    <sheet xmlns:r="http://schemas.openxmlformats.org/officeDocument/2006/relationships" name="Давления" sheetId="2" state="visible" r:id="rId2"/>
    <sheet xmlns:r="http://schemas.openxmlformats.org/officeDocument/2006/relationships" name="График" sheetId="3" state="visible" r:id="rId3"/>
    <sheet xmlns:r="http://schemas.openxmlformats.org/officeDocument/2006/relationships" name="Конструкция" sheetId="4" state="visible" r:id="rId4"/>
    <sheet xmlns:r="http://schemas.openxmlformats.org/officeDocument/2006/relationships" name="Сравнение методик" sheetId="5" state="visible" r:id="rId5"/>
    <sheet xmlns:r="http://schemas.openxmlformats.org/officeDocument/2006/relationships" name="Справочник ГОСТ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6">
    <font>
      <name val="Calibri"/>
      <family val="2"/>
      <color theme="1"/>
      <sz val="11"/>
      <scheme val="minor"/>
    </font>
    <font>
      <b val="1"/>
      <color rgb="001F4E4A"/>
      <sz val="14"/>
    </font>
    <font>
      <i val="1"/>
      <color rgb="00404040"/>
      <sz val="10"/>
    </font>
    <font>
      <b val="1"/>
    </font>
    <font>
      <i val="1"/>
      <sz val="9"/>
    </font>
    <font>
      <b val="1"/>
      <color rgb="001F4E4A"/>
      <sz val="12"/>
    </font>
  </fonts>
  <fills count="5">
    <fill>
      <patternFill/>
    </fill>
    <fill>
      <patternFill patternType="gray125"/>
    </fill>
    <fill>
      <patternFill patternType="solid">
        <fgColor rgb="00D5E8E4"/>
      </patternFill>
    </fill>
    <fill>
      <patternFill patternType="solid">
        <fgColor rgb="00FFF4D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404040"/>
      </left>
      <right style="thin">
        <color rgb="00404040"/>
      </right>
      <top style="thin">
        <color rgb="00404040"/>
      </top>
      <bottom style="thin">
        <color rgb="0040404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3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 wrapText="1"/>
    </xf>
    <xf numFmtId="1" fontId="0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165" fontId="0" fillId="0" borderId="1" applyAlignment="1" pivotButton="0" quotePrefix="0" xfId="0">
      <alignment horizontal="center" vertical="center" wrapText="1"/>
    </xf>
    <xf numFmtId="1" fontId="3" fillId="4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Совмещённый график давлений (вариант 2)</a:t>
            </a:r>
          </a:p>
        </rich>
      </tx>
    </title>
    <plotArea>
      <scatterChart>
        <ser>
          <idx val="0"/>
          <order val="0"/>
          <tx>
            <v>KF</v>
          </tx>
          <spPr>
            <a:ln xmlns:a="http://schemas.openxmlformats.org/drawingml/2006/main" w="28575">
              <a:solidFill>
                <a:srgbClr val="0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'График'!$A$5:$A$12</f>
            </numRef>
          </xVal>
          <yVal>
            <numRef>
              <f>'График'!$B$5:$B$12</f>
            </numRef>
          </yVal>
          <smooth val="0"/>
        </ser>
        <ser>
          <idx val="1"/>
          <order val="1"/>
          <tx>
            <v>KFR</v>
          </tx>
          <spPr>
            <a:ln xmlns:a="http://schemas.openxmlformats.org/drawingml/2006/main" w="28575">
              <a:solidFill>
                <a:srgbClr val="0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'График'!$C$5:$C$12</f>
            </numRef>
          </xVal>
          <yVal>
            <numRef>
              <f>'График'!$D$5:$D$12</f>
            </numRef>
          </yVal>
          <smooth val="0"/>
        </ser>
        <ser>
          <idx val="2"/>
          <order val="2"/>
          <tx>
            <v>ρR = Ks·KF</v>
          </tx>
          <spPr>
            <a:ln xmlns:a="http://schemas.openxmlformats.org/drawingml/2006/main" w="19050">
              <a:solidFill>
                <a:srgbClr val="1F4E79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'График'!$E$5:$E$14</f>
            </numRef>
          </xVal>
          <yVal>
            <numRef>
              <f>'График'!$F$5:$F$14</f>
            </numRef>
          </yVal>
          <smooth val="0"/>
        </ser>
        <ser>
          <idx val="3"/>
          <order val="3"/>
          <tx>
            <v>ρR принятая</v>
          </tx>
          <spPr>
            <a:ln xmlns:a="http://schemas.openxmlformats.org/drawingml/2006/main" w="1587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'График'!$G$5:$G$10</f>
            </numRef>
          </xVal>
          <yVal>
            <numRef>
              <f>'График'!$H$5:$H$10</f>
            </numRef>
          </yVal>
          <smooth val="0"/>
        </ser>
        <axId val="10"/>
        <axId val="20"/>
      </scatterChart>
      <valAx>
        <axId val="10"/>
        <scaling>
          <orientation val="minMax"/>
          <max val="1.8"/>
          <min val="0.7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KF, KFR, ρR</a:t>
                </a:r>
              </a:p>
            </rich>
          </tx>
        </title>
        <numFmt formatCode="0.0" sourceLinked="0"/>
        <majorTickMark val="none"/>
        <minorTickMark val="none"/>
        <crossAx val="20"/>
        <majorUnit val="0.1"/>
      </valAx>
      <valAx>
        <axId val="20"/>
        <scaling>
          <orientation val="maxMin"/>
          <max val="240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Глубина, м</a:t>
                </a:r>
              </a:p>
            </rich>
          </tx>
        </title>
        <numFmt formatCode="0" sourceLinked="0"/>
        <majorTickMark val="none"/>
        <minorTickMark val="none"/>
        <crossAx val="10"/>
        <majorUnit val="30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3</row>
      <rowOff>0</rowOff>
    </from>
    <ext cx="612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30" customWidth="1" min="3" max="3"/>
    <col width="12" customWidth="1" min="4" max="4"/>
    <col width="12" customWidth="1" min="5" max="5"/>
  </cols>
  <sheetData>
    <row r="1">
      <c r="A1" s="1" t="inlineStr">
        <is>
          <t>ДЗ № 1. Проектирование конструкции скважины. Вариант 2</t>
        </is>
      </c>
    </row>
    <row r="2">
      <c r="A2" s="2" t="inlineStr">
        <is>
          <t>Жёлтые ячейки — исходные данные; все остальные листы считаются от них</t>
        </is>
      </c>
    </row>
    <row r="4">
      <c r="A4" s="3" t="inlineStr">
        <is>
          <t>Параметр</t>
        </is>
      </c>
      <c r="B4" s="3" t="inlineStr">
        <is>
          <t>Значение</t>
        </is>
      </c>
      <c r="C4" s="3" t="inlineStr">
        <is>
          <t>Примечание</t>
        </is>
      </c>
    </row>
    <row r="5">
      <c r="A5" s="4" t="inlineStr">
        <is>
          <t>Назначение скважины</t>
        </is>
      </c>
      <c r="B5" s="5" t="inlineStr">
        <is>
          <t>газовая</t>
        </is>
      </c>
      <c r="C5" s="4" t="inlineStr">
        <is>
          <t>вариант 2 (№ 2 по журналу)</t>
        </is>
      </c>
    </row>
    <row r="6">
      <c r="A6" s="4" t="inlineStr">
        <is>
          <t>Глубина скважины H, м</t>
        </is>
      </c>
      <c r="B6" s="5" t="n">
        <v>2400</v>
      </c>
      <c r="C6" s="4" t="inlineStr"/>
    </row>
    <row r="7">
      <c r="A7" s="4" t="inlineStr">
        <is>
          <t>Диаметр эксплуатационной колонны, мм</t>
        </is>
      </c>
      <c r="B7" s="5" t="n">
        <v>127</v>
      </c>
      <c r="C7" s="4" t="inlineStr">
        <is>
          <t>задан</t>
        </is>
      </c>
    </row>
    <row r="8">
      <c r="A8" s="4" t="inlineStr">
        <is>
          <t>Неустойчивые породы до глубины, м</t>
        </is>
      </c>
      <c r="B8" s="5" t="n">
        <v>500</v>
      </c>
      <c r="C8" s="4" t="inlineStr">
        <is>
          <t>склонны к поглощениям</t>
        </is>
      </c>
    </row>
    <row r="9">
      <c r="A9" s="4" t="inlineStr">
        <is>
          <t>g, м/с²</t>
        </is>
      </c>
      <c r="B9" s="5" t="n">
        <v>9.81</v>
      </c>
      <c r="C9" s="4" t="inlineStr"/>
    </row>
    <row r="10">
      <c r="A10" s="4" t="inlineStr">
        <is>
          <t>ρв, кг/м³</t>
        </is>
      </c>
      <c r="B10" s="5" t="n">
        <v>1000</v>
      </c>
      <c r="C10" s="4" t="inlineStr">
        <is>
          <t>плотность воды</t>
        </is>
      </c>
    </row>
    <row r="11">
      <c r="A11" s="4" t="inlineStr">
        <is>
          <t>Ks при z ≤ 1200 м</t>
        </is>
      </c>
      <c r="B11" s="5" t="n">
        <v>1.1</v>
      </c>
      <c r="C11" s="4" t="inlineStr">
        <is>
          <t>ПБ, п. 2.7.3.3</t>
        </is>
      </c>
    </row>
    <row r="12">
      <c r="A12" s="4" t="inlineStr">
        <is>
          <t>Ks при z &gt; 1200 м</t>
        </is>
      </c>
      <c r="B12" s="5" t="n">
        <v>1.05</v>
      </c>
      <c r="C12" s="4" t="inlineStr">
        <is>
          <t>ПБ, п. 2.7.3.3</t>
        </is>
      </c>
    </row>
    <row r="13">
      <c r="A13" s="4" t="inlineStr">
        <is>
          <t>Граница смены Ks, м</t>
        </is>
      </c>
      <c r="B13" s="5" t="n">
        <v>1200</v>
      </c>
      <c r="C13" s="4" t="inlineStr"/>
    </row>
    <row r="14">
      <c r="A14" s="4" t="inlineStr">
        <is>
          <t>Подъём цемента над башмаком пред. ОК, м</t>
        </is>
      </c>
      <c r="B14" s="5" t="n">
        <v>500</v>
      </c>
      <c r="C14" s="4" t="inlineStr">
        <is>
          <t>газовая скв., ПБ п. 2.7.4.11</t>
        </is>
      </c>
    </row>
    <row r="15">
      <c r="A15" s="4" t="inlineStr">
        <is>
          <t>Зазор δ долото – внутр. стенка ОК, мм</t>
        </is>
      </c>
      <c r="B15" s="5" t="n">
        <v>5</v>
      </c>
      <c r="C15" s="4" t="inlineStr">
        <is>
          <t>принят из диапазона 5–10 мм</t>
        </is>
      </c>
    </row>
    <row r="17">
      <c r="A17" s="6" t="inlineStr">
        <is>
          <t>Геологический разрез</t>
        </is>
      </c>
    </row>
    <row r="18">
      <c r="A18" s="3" t="inlineStr">
        <is>
          <t>Порода</t>
        </is>
      </c>
      <c r="B18" s="3" t="inlineStr">
        <is>
          <t>Кровля, м</t>
        </is>
      </c>
      <c r="C18" s="3" t="inlineStr">
        <is>
          <t>Подошва, м</t>
        </is>
      </c>
      <c r="D18" s="3" t="inlineStr">
        <is>
          <t>Pпл, МПа</t>
        </is>
      </c>
      <c r="E18" s="3" t="inlineStr">
        <is>
          <t>Pпогл, МПа</t>
        </is>
      </c>
    </row>
    <row r="19">
      <c r="A19" s="7" t="inlineStr">
        <is>
          <t>пески и галечники, мергели</t>
        </is>
      </c>
      <c r="B19" s="5" t="n">
        <v>0</v>
      </c>
      <c r="C19" s="5" t="n">
        <v>900</v>
      </c>
      <c r="D19" s="5" t="n">
        <v>9</v>
      </c>
      <c r="E19" s="5" t="n">
        <v>11.7</v>
      </c>
    </row>
    <row r="20">
      <c r="A20" s="7" t="inlineStr">
        <is>
          <t>алевролиты</t>
        </is>
      </c>
      <c r="B20" s="5" t="n">
        <v>900</v>
      </c>
      <c r="C20" s="5" t="n">
        <v>1100</v>
      </c>
      <c r="D20" s="5" t="n">
        <v>8.800000000000001</v>
      </c>
      <c r="E20" s="5" t="n">
        <v>15.4</v>
      </c>
    </row>
    <row r="21">
      <c r="A21" s="7" t="inlineStr">
        <is>
          <t>известняк</t>
        </is>
      </c>
      <c r="B21" s="5" t="n">
        <v>1100</v>
      </c>
      <c r="C21" s="5" t="n">
        <v>2100</v>
      </c>
      <c r="D21" s="5" t="n">
        <v>27.3</v>
      </c>
      <c r="E21" s="5" t="n">
        <v>33.6</v>
      </c>
    </row>
    <row r="22">
      <c r="A22" s="7" t="inlineStr">
        <is>
          <t>песчаник</t>
        </is>
      </c>
      <c r="B22" s="5" t="n">
        <v>2100</v>
      </c>
      <c r="C22" s="5" t="n">
        <v>2400</v>
      </c>
      <c r="D22" s="5" t="n">
        <v>33.6</v>
      </c>
      <c r="E22" s="5" t="n">
        <v>40.8</v>
      </c>
    </row>
    <row r="23">
      <c r="A23" s="8" t="inlineStr">
        <is>
          <t>Давления отнесены к подошве интервала.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  <col width="12" customWidth="1" min="9" max="9"/>
    <col width="14" customWidth="1" min="10" max="10"/>
  </cols>
  <sheetData>
    <row r="1">
      <c r="A1" s="1" t="inlineStr">
        <is>
          <t>1. Индексы давлений и относительная плотность бурового раствора</t>
        </is>
      </c>
    </row>
    <row r="2">
      <c r="A2" s="2" t="inlineStr">
        <is>
          <t>KF = Pпл/(ρв·g·z);  KFR = Pпогл/(ρв·g·z);  ρR = Ks·KF;  ρб.р. = ρR·ρв</t>
        </is>
      </c>
    </row>
    <row r="4">
      <c r="A4" s="3" t="inlineStr">
        <is>
          <t>Порода</t>
        </is>
      </c>
      <c r="B4" s="3" t="inlineStr">
        <is>
          <t>z₁, м</t>
        </is>
      </c>
      <c r="C4" s="3" t="inlineStr">
        <is>
          <t>z₂, м</t>
        </is>
      </c>
      <c r="D4" s="3" t="inlineStr">
        <is>
          <t>Pпл, МПа</t>
        </is>
      </c>
      <c r="E4" s="3" t="inlineStr">
        <is>
          <t>Pпогл, МПа</t>
        </is>
      </c>
      <c r="F4" s="3" t="inlineStr">
        <is>
          <t>KF</t>
        </is>
      </c>
      <c r="G4" s="3" t="inlineStr">
        <is>
          <t>KFR</t>
        </is>
      </c>
      <c r="H4" s="3" t="inlineStr">
        <is>
          <t>Ks</t>
        </is>
      </c>
      <c r="I4" s="3" t="inlineStr">
        <is>
          <t>ρR</t>
        </is>
      </c>
      <c r="J4" s="3" t="inlineStr">
        <is>
          <t>ρб.р., кг/м³</t>
        </is>
      </c>
    </row>
    <row r="5">
      <c r="A5" s="4">
        <f>'Исходные данные'!A19</f>
        <v/>
      </c>
      <c r="B5" s="9">
        <f>'Исходные данные'!B19</f>
        <v/>
      </c>
      <c r="C5" s="9">
        <f>'Исходные данные'!C19</f>
        <v/>
      </c>
      <c r="D5" s="9">
        <f>'Исходные данные'!D19</f>
        <v/>
      </c>
      <c r="E5" s="9">
        <f>'Исходные данные'!E19</f>
        <v/>
      </c>
      <c r="F5" s="10">
        <f>D5*10^6/('Исходные данные'!$B$10*'Исходные данные'!$B$9*'Исходные данные'!C19)</f>
        <v/>
      </c>
      <c r="G5" s="10">
        <f>E5*10^6/('Исходные данные'!$B$10*'Исходные данные'!$B$9*'Исходные данные'!C19)</f>
        <v/>
      </c>
      <c r="H5" s="10">
        <f>IF(C5&lt;='Исходные данные'!$B$13,'Исходные данные'!$B$11,'Исходные данные'!$B$12)</f>
        <v/>
      </c>
      <c r="I5" s="10">
        <f>H5*F5</f>
        <v/>
      </c>
      <c r="J5" s="11">
        <f>I5*'Исходные данные'!$B$10</f>
        <v/>
      </c>
    </row>
    <row r="6">
      <c r="A6" s="4">
        <f>'Исходные данные'!A20</f>
        <v/>
      </c>
      <c r="B6" s="9">
        <f>'Исходные данные'!B20</f>
        <v/>
      </c>
      <c r="C6" s="9">
        <f>'Исходные данные'!C20</f>
        <v/>
      </c>
      <c r="D6" s="9">
        <f>'Исходные данные'!D20</f>
        <v/>
      </c>
      <c r="E6" s="9">
        <f>'Исходные данные'!E20</f>
        <v/>
      </c>
      <c r="F6" s="10">
        <f>D6*10^6/('Исходные данные'!$B$10*'Исходные данные'!$B$9*'Исходные данные'!C20)</f>
        <v/>
      </c>
      <c r="G6" s="10">
        <f>E6*10^6/('Исходные данные'!$B$10*'Исходные данные'!$B$9*'Исходные данные'!C20)</f>
        <v/>
      </c>
      <c r="H6" s="10">
        <f>IF(C6&lt;='Исходные данные'!$B$13,'Исходные данные'!$B$11,'Исходные данные'!$B$12)</f>
        <v/>
      </c>
      <c r="I6" s="10">
        <f>H6*F6</f>
        <v/>
      </c>
      <c r="J6" s="11">
        <f>I6*'Исходные данные'!$B$10</f>
        <v/>
      </c>
    </row>
    <row r="7">
      <c r="A7" s="4">
        <f>'Исходные данные'!A21</f>
        <v/>
      </c>
      <c r="B7" s="9">
        <f>'Исходные данные'!B21</f>
        <v/>
      </c>
      <c r="C7" s="9">
        <f>'Исходные данные'!$B$13</f>
        <v/>
      </c>
      <c r="D7" s="9">
        <f>'Исходные данные'!D21</f>
        <v/>
      </c>
      <c r="E7" s="9">
        <f>'Исходные данные'!E21</f>
        <v/>
      </c>
      <c r="F7" s="10">
        <f>D7*10^6/('Исходные данные'!$B$10*'Исходные данные'!$B$9*'Исходные данные'!C21)</f>
        <v/>
      </c>
      <c r="G7" s="10">
        <f>E7*10^6/('Исходные данные'!$B$10*'Исходные данные'!$B$9*'Исходные данные'!C21)</f>
        <v/>
      </c>
      <c r="H7" s="10">
        <f>IF(C7&lt;='Исходные данные'!$B$13,'Исходные данные'!$B$11,'Исходные данные'!$B$12)</f>
        <v/>
      </c>
      <c r="I7" s="10">
        <f>H7*F7</f>
        <v/>
      </c>
      <c r="J7" s="11">
        <f>I7*'Исходные данные'!$B$10</f>
        <v/>
      </c>
    </row>
    <row r="8">
      <c r="A8" s="4">
        <f>'Исходные данные'!A21</f>
        <v/>
      </c>
      <c r="B8" s="9">
        <f>'Исходные данные'!$B$13</f>
        <v/>
      </c>
      <c r="C8" s="9">
        <f>'Исходные данные'!C21</f>
        <v/>
      </c>
      <c r="D8" s="9">
        <f>'Исходные данные'!D21</f>
        <v/>
      </c>
      <c r="E8" s="9">
        <f>'Исходные данные'!E21</f>
        <v/>
      </c>
      <c r="F8" s="10">
        <f>D8*10^6/('Исходные данные'!$B$10*'Исходные данные'!$B$9*'Исходные данные'!C21)</f>
        <v/>
      </c>
      <c r="G8" s="10">
        <f>E8*10^6/('Исходные данные'!$B$10*'Исходные данные'!$B$9*'Исходные данные'!C21)</f>
        <v/>
      </c>
      <c r="H8" s="10">
        <f>IF(C8&lt;='Исходные данные'!$B$13,'Исходные данные'!$B$11,'Исходные данные'!$B$12)</f>
        <v/>
      </c>
      <c r="I8" s="10">
        <f>H8*F8</f>
        <v/>
      </c>
      <c r="J8" s="11">
        <f>I8*'Исходные данные'!$B$10</f>
        <v/>
      </c>
    </row>
    <row r="9">
      <c r="A9" s="4">
        <f>'Исходные данные'!A22</f>
        <v/>
      </c>
      <c r="B9" s="9">
        <f>'Исходные данные'!B22</f>
        <v/>
      </c>
      <c r="C9" s="9">
        <f>'Исходные данные'!C22</f>
        <v/>
      </c>
      <c r="D9" s="9">
        <f>'Исходные данные'!D22</f>
        <v/>
      </c>
      <c r="E9" s="9">
        <f>'Исходные данные'!E22</f>
        <v/>
      </c>
      <c r="F9" s="10">
        <f>D9*10^6/('Исходные данные'!$B$10*'Исходные данные'!$B$9*'Исходные данные'!C22)</f>
        <v/>
      </c>
      <c r="G9" s="10">
        <f>E9*10^6/('Исходные данные'!$B$10*'Исходные данные'!$B$9*'Исходные данные'!C22)</f>
        <v/>
      </c>
      <c r="H9" s="10">
        <f>IF(C9&lt;='Исходные данные'!$B$13,'Исходные данные'!$B$11,'Исходные данные'!$B$12)</f>
        <v/>
      </c>
      <c r="I9" s="10">
        <f>H9*F9</f>
        <v/>
      </c>
      <c r="J9" s="11">
        <f>I9*'Исходные данные'!$B$10</f>
        <v/>
      </c>
    </row>
    <row r="10">
      <c r="A10" s="8" t="inlineStr">
        <is>
          <t>Известняк (1100–2100 м) разделён на 1100–1200 и 1200–2100 м из-за смены Ks; KF и KFR в пласте постоянны.</t>
        </is>
      </c>
    </row>
    <row r="12">
      <c r="A12" s="12" t="inlineStr">
        <is>
          <t>2. Совместимость условий бурения (весь открытый ствол — одна плотность раствора)</t>
        </is>
      </c>
    </row>
    <row r="13">
      <c r="A13" s="3" t="inlineStr">
        <is>
          <t>Интервал бурения</t>
        </is>
      </c>
      <c r="B13" s="3" t="inlineStr">
        <is>
          <t>от, м</t>
        </is>
      </c>
      <c r="C13" s="3" t="inlineStr">
        <is>
          <t>до, м</t>
        </is>
      </c>
      <c r="D13" s="3" t="inlineStr">
        <is>
          <t>ρR прин.</t>
        </is>
      </c>
      <c r="E13" s="3" t="inlineStr">
        <is>
          <t>KF max</t>
        </is>
      </c>
      <c r="F13" s="3" t="inlineStr">
        <is>
          <t>KFR min</t>
        </is>
      </c>
      <c r="G13" s="3" t="inlineStr">
        <is>
          <t>Вывод</t>
        </is>
      </c>
    </row>
    <row r="14">
      <c r="A14" s="4" t="inlineStr">
        <is>
          <t>под кондуктор</t>
        </is>
      </c>
      <c r="B14" s="9">
        <f>0</f>
        <v/>
      </c>
      <c r="C14" s="9">
        <f>'Конструкция'!C6</f>
        <v/>
      </c>
      <c r="D14" s="10">
        <f>I5</f>
        <v/>
      </c>
      <c r="E14" s="10">
        <f>F5</f>
        <v/>
      </c>
      <c r="F14" s="10">
        <f>G5</f>
        <v/>
      </c>
      <c r="G14" s="9">
        <f>IF(AND(E14&lt;D14,D14&lt;F14),"совместимы","несовместимы")</f>
        <v/>
      </c>
    </row>
    <row r="15">
      <c r="A15" s="4" t="inlineStr">
        <is>
          <t>под промежуточную ОК</t>
        </is>
      </c>
      <c r="B15" s="9">
        <f>'Конструкция'!C6</f>
        <v/>
      </c>
      <c r="C15" s="9">
        <f>'Конструкция'!D6</f>
        <v/>
      </c>
      <c r="D15" s="10">
        <f>MAX(I5:I6)</f>
        <v/>
      </c>
      <c r="E15" s="10">
        <f>MAX(F5:F6)</f>
        <v/>
      </c>
      <c r="F15" s="10">
        <f>MIN(G5:G6)</f>
        <v/>
      </c>
      <c r="G15" s="9">
        <f>IF(AND(E15&lt;D15,D15&lt;F15),"совместимы","несовместимы")</f>
        <v/>
      </c>
    </row>
    <row r="16">
      <c r="A16" s="4" t="inlineStr">
        <is>
          <t>под эксплуатационную ОК</t>
        </is>
      </c>
      <c r="B16" s="9">
        <f>'Конструкция'!D6</f>
        <v/>
      </c>
      <c r="C16" s="9">
        <f>'Конструкция'!E6</f>
        <v/>
      </c>
      <c r="D16" s="10">
        <f>MAX(I7:I9)</f>
        <v/>
      </c>
      <c r="E16" s="10">
        <f>MAX(F7:F9)</f>
        <v/>
      </c>
      <c r="F16" s="10">
        <f>MIN(G7:G9)</f>
        <v/>
      </c>
      <c r="G16" s="9">
        <f>IF(AND(E16&lt;D16,D16&lt;F16),"совместимы","несовместимы")</f>
        <v/>
      </c>
    </row>
    <row r="18">
      <c r="A18" s="6" t="inlineStr">
        <is>
          <t>Можно ли вскрыть известняк, не перекрыв интервал 0–1100 м?</t>
        </is>
      </c>
    </row>
    <row r="19">
      <c r="A19" s="4" t="inlineStr">
        <is>
          <t>ρR, нужная для 1100–2400 м</t>
        </is>
      </c>
      <c r="B19" s="10">
        <f>D16</f>
        <v/>
      </c>
    </row>
    <row r="20">
      <c r="A20" s="4" t="inlineStr">
        <is>
          <t>KFR min выше 1100 м</t>
        </is>
      </c>
      <c r="B20" s="10">
        <f>MIN(G5:G6)</f>
        <v/>
      </c>
    </row>
    <row r="21">
      <c r="A21" s="4" t="inlineStr">
        <is>
          <t>ρR, допустимая выше 1100 м</t>
        </is>
      </c>
      <c r="B21" s="10">
        <f>D15</f>
        <v/>
      </c>
    </row>
    <row r="22">
      <c r="A22" s="4" t="inlineStr">
        <is>
          <t>KF известняка</t>
        </is>
      </c>
      <c r="B22" s="10">
        <f>F7</f>
        <v/>
      </c>
    </row>
    <row r="23" ht="30" customHeight="1">
      <c r="A23" s="4" t="inlineStr">
        <is>
          <t>Ответ</t>
        </is>
      </c>
      <c r="B23" s="4">
        <f>IF(OR(B19&gt;=B20,B21&lt;=B22),"нет — поглощение выше 1100 м / ГНВП в известняке; нужна промежуточная колонна до 1100 м","да")</f>
        <v/>
      </c>
      <c r="C23" s="4" t="n"/>
      <c r="D23" s="4" t="n"/>
      <c r="E23" s="4" t="n"/>
      <c r="F23" s="4" t="n"/>
      <c r="G23" s="4" t="n"/>
      <c r="H23" s="4" t="n"/>
      <c r="I23" s="4" t="n"/>
      <c r="J23" s="4" t="n"/>
    </row>
  </sheetData>
  <mergeCells count="1">
    <mergeCell ref="B23:J23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9" customWidth="1" min="3" max="3"/>
    <col width="8" customWidth="1" min="4" max="4"/>
    <col width="9" customWidth="1" min="5" max="5"/>
    <col width="8" customWidth="1" min="6" max="6"/>
    <col width="9" customWidth="1" min="7" max="7"/>
    <col width="8" customWidth="1" min="8" max="8"/>
  </cols>
  <sheetData>
    <row r="1">
      <c r="A1" s="1" t="inlineStr">
        <is>
          <t>Совмещённый график давлений</t>
        </is>
      </c>
    </row>
    <row r="2">
      <c r="A2" s="2" t="inlineStr">
        <is>
          <t>Данные ступенчатых линий (ссылки на лист «Давления»)</t>
        </is>
      </c>
    </row>
    <row r="4">
      <c r="A4" s="3" t="inlineStr">
        <is>
          <t>KF</t>
        </is>
      </c>
      <c r="B4" s="3" t="inlineStr">
        <is>
          <t>z</t>
        </is>
      </c>
      <c r="C4" s="3" t="inlineStr">
        <is>
          <t>KFR</t>
        </is>
      </c>
      <c r="D4" s="3" t="inlineStr">
        <is>
          <t>z</t>
        </is>
      </c>
      <c r="E4" s="3" t="inlineStr">
        <is>
          <t>ρR</t>
        </is>
      </c>
      <c r="F4" s="3" t="inlineStr">
        <is>
          <t>z</t>
        </is>
      </c>
      <c r="G4" s="3" t="inlineStr">
        <is>
          <t>ρR прин.</t>
        </is>
      </c>
      <c r="H4" s="3" t="inlineStr">
        <is>
          <t>z</t>
        </is>
      </c>
    </row>
    <row r="5">
      <c r="A5" s="13">
        <f>Давления!F5</f>
        <v/>
      </c>
      <c r="B5" s="13">
        <f>Давления!B5</f>
        <v/>
      </c>
      <c r="C5" s="13">
        <f>Давления!G5</f>
        <v/>
      </c>
      <c r="D5" s="13">
        <f>Давления!B5</f>
        <v/>
      </c>
      <c r="E5" s="13">
        <f>Давления!I5</f>
        <v/>
      </c>
      <c r="F5" s="13">
        <f>Давления!B5</f>
        <v/>
      </c>
      <c r="G5" s="13">
        <f>Давления!D14</f>
        <v/>
      </c>
      <c r="H5" s="13">
        <f>Давления!B14</f>
        <v/>
      </c>
    </row>
    <row r="6">
      <c r="A6" s="13">
        <f>Давления!F5</f>
        <v/>
      </c>
      <c r="B6" s="13">
        <f>Давления!C5</f>
        <v/>
      </c>
      <c r="C6" s="13">
        <f>Давления!G5</f>
        <v/>
      </c>
      <c r="D6" s="13">
        <f>Давления!C5</f>
        <v/>
      </c>
      <c r="E6" s="13">
        <f>Давления!I5</f>
        <v/>
      </c>
      <c r="F6" s="13">
        <f>Давления!C5</f>
        <v/>
      </c>
      <c r="G6" s="13">
        <f>Давления!D14</f>
        <v/>
      </c>
      <c r="H6" s="13">
        <f>Давления!C14</f>
        <v/>
      </c>
    </row>
    <row r="7">
      <c r="A7" s="13">
        <f>Давления!F6</f>
        <v/>
      </c>
      <c r="B7" s="13">
        <f>Давления!B6</f>
        <v/>
      </c>
      <c r="C7" s="13">
        <f>Давления!G6</f>
        <v/>
      </c>
      <c r="D7" s="13">
        <f>Давления!B6</f>
        <v/>
      </c>
      <c r="E7" s="13">
        <f>Давления!I6</f>
        <v/>
      </c>
      <c r="F7" s="13">
        <f>Давления!B6</f>
        <v/>
      </c>
      <c r="G7" s="13">
        <f>Давления!D15</f>
        <v/>
      </c>
      <c r="H7" s="13">
        <f>Давления!B15</f>
        <v/>
      </c>
    </row>
    <row r="8">
      <c r="A8" s="13">
        <f>Давления!F6</f>
        <v/>
      </c>
      <c r="B8" s="13">
        <f>Давления!C6</f>
        <v/>
      </c>
      <c r="C8" s="13">
        <f>Давления!G6</f>
        <v/>
      </c>
      <c r="D8" s="13">
        <f>Давления!C6</f>
        <v/>
      </c>
      <c r="E8" s="13">
        <f>Давления!I6</f>
        <v/>
      </c>
      <c r="F8" s="13">
        <f>Давления!C6</f>
        <v/>
      </c>
      <c r="G8" s="13">
        <f>Давления!D15</f>
        <v/>
      </c>
      <c r="H8" s="13">
        <f>Давления!C15</f>
        <v/>
      </c>
    </row>
    <row r="9">
      <c r="A9" s="13">
        <f>Давления!F7</f>
        <v/>
      </c>
      <c r="B9" s="13">
        <f>Давления!B7</f>
        <v/>
      </c>
      <c r="C9" s="13">
        <f>Давления!G7</f>
        <v/>
      </c>
      <c r="D9" s="13">
        <f>Давления!B7</f>
        <v/>
      </c>
      <c r="E9" s="13">
        <f>Давления!I7</f>
        <v/>
      </c>
      <c r="F9" s="13">
        <f>Давления!B7</f>
        <v/>
      </c>
      <c r="G9" s="13">
        <f>Давления!D16</f>
        <v/>
      </c>
      <c r="H9" s="13">
        <f>Давления!B16</f>
        <v/>
      </c>
    </row>
    <row r="10">
      <c r="A10" s="13">
        <f>Давления!F7</f>
        <v/>
      </c>
      <c r="B10" s="13">
        <f>Давления!C8</f>
        <v/>
      </c>
      <c r="C10" s="13">
        <f>Давления!G7</f>
        <v/>
      </c>
      <c r="D10" s="13">
        <f>Давления!C8</f>
        <v/>
      </c>
      <c r="E10" s="13">
        <f>Давления!I7</f>
        <v/>
      </c>
      <c r="F10" s="13">
        <f>Давления!C7</f>
        <v/>
      </c>
      <c r="G10" s="13">
        <f>Давления!D16</f>
        <v/>
      </c>
      <c r="H10" s="13">
        <f>Давления!C16</f>
        <v/>
      </c>
    </row>
    <row r="11">
      <c r="A11" s="13">
        <f>Давления!F9</f>
        <v/>
      </c>
      <c r="B11" s="13">
        <f>Давления!B9</f>
        <v/>
      </c>
      <c r="C11" s="13">
        <f>Давления!G9</f>
        <v/>
      </c>
      <c r="D11" s="13">
        <f>Давления!B9</f>
        <v/>
      </c>
      <c r="E11" s="13">
        <f>Давления!I8</f>
        <v/>
      </c>
      <c r="F11" s="13">
        <f>Давления!B8</f>
        <v/>
      </c>
      <c r="G11" s="13" t="n"/>
      <c r="H11" s="13" t="n"/>
    </row>
    <row r="12">
      <c r="A12" s="13">
        <f>Давления!F9</f>
        <v/>
      </c>
      <c r="B12" s="13">
        <f>Давления!C9</f>
        <v/>
      </c>
      <c r="C12" s="13">
        <f>Давления!G9</f>
        <v/>
      </c>
      <c r="D12" s="13">
        <f>Давления!C9</f>
        <v/>
      </c>
      <c r="E12" s="13">
        <f>Давления!I8</f>
        <v/>
      </c>
      <c r="F12" s="13">
        <f>Давления!C8</f>
        <v/>
      </c>
      <c r="G12" s="13" t="n"/>
      <c r="H12" s="13" t="n"/>
    </row>
    <row r="13">
      <c r="A13" s="13" t="n"/>
      <c r="B13" s="13" t="n"/>
      <c r="C13" s="13" t="n"/>
      <c r="D13" s="13" t="n"/>
      <c r="E13" s="13">
        <f>Давления!I9</f>
        <v/>
      </c>
      <c r="F13" s="13">
        <f>Давления!B9</f>
        <v/>
      </c>
      <c r="G13" s="13" t="n"/>
      <c r="H13" s="13" t="n"/>
    </row>
    <row r="14">
      <c r="A14" s="13" t="n"/>
      <c r="B14" s="13" t="n"/>
      <c r="C14" s="13" t="n"/>
      <c r="D14" s="13" t="n"/>
      <c r="E14" s="13">
        <f>Давления!I9</f>
        <v/>
      </c>
      <c r="F14" s="13">
        <f>Давления!C9</f>
        <v/>
      </c>
      <c r="G14" s="13" t="n"/>
      <c r="H14" s="13" t="n"/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4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5" customWidth="1" min="3" max="3"/>
    <col width="15" customWidth="1" min="4" max="4"/>
    <col width="17" customWidth="1" min="5" max="5"/>
  </cols>
  <sheetData>
    <row r="1">
      <c r="A1" s="1" t="inlineStr">
        <is>
          <t>3. Конструкция скважины: колонны, цементирование, диаметры</t>
        </is>
      </c>
    </row>
    <row r="2">
      <c r="A2" s="2" t="inlineStr">
        <is>
          <t>Диаметры — снизу вверх: DB = dм + 2Δ → долото ГОСТ 20692 ≥ DB;  d пред. ОК ≥ DB + 2δ → ОК ГОСТ 632-80</t>
        </is>
      </c>
    </row>
    <row r="5">
      <c r="A5" s="3" t="inlineStr">
        <is>
          <t>Показатель</t>
        </is>
      </c>
      <c r="B5" s="3" t="inlineStr">
        <is>
          <t>обозн.</t>
        </is>
      </c>
      <c r="C5" s="3" t="inlineStr">
        <is>
          <t>Кондуктор</t>
        </is>
      </c>
      <c r="D5" s="3" t="inlineStr">
        <is>
          <t>Промежуточная</t>
        </is>
      </c>
      <c r="E5" s="3" t="inlineStr">
        <is>
          <t>Эксплуатационная</t>
        </is>
      </c>
    </row>
    <row r="6">
      <c r="A6" s="4" t="inlineStr">
        <is>
          <t>Глубина спуска (башмак), м</t>
        </is>
      </c>
      <c r="B6" s="9" t="inlineStr">
        <is>
          <t>L</t>
        </is>
      </c>
      <c r="C6" s="14">
        <f>'Исходные данные'!$B$8+10</f>
        <v/>
      </c>
      <c r="D6" s="14">
        <f>'Исходные данные'!C20</f>
        <v/>
      </c>
      <c r="E6" s="14">
        <f>'Исходные данные'!$B$6</f>
        <v/>
      </c>
    </row>
    <row r="7">
      <c r="A7" s="4" t="inlineStr">
        <is>
          <t>Кровля цемента (расчёт: башмак пред. ОК − 500 м), м</t>
        </is>
      </c>
      <c r="B7" s="9" t="inlineStr">
        <is>
          <t>H расч</t>
        </is>
      </c>
      <c r="C7" s="9" t="inlineStr">
        <is>
          <t>до устья</t>
        </is>
      </c>
      <c r="D7" s="9">
        <f>C6-'Исходные данные'!$B$14</f>
        <v/>
      </c>
      <c r="E7" s="9">
        <f>D6-'Исходные данные'!$B$14</f>
        <v/>
      </c>
    </row>
    <row r="8">
      <c r="A8" s="4" t="inlineStr">
        <is>
          <t>Кровля цемента принятая, м</t>
        </is>
      </c>
      <c r="B8" s="9" t="inlineStr">
        <is>
          <t>H</t>
        </is>
      </c>
      <c r="C8" s="14" t="n">
        <v>0</v>
      </c>
      <c r="D8" s="14">
        <f>IF(D7&lt;50,0,D7)</f>
        <v/>
      </c>
      <c r="E8" s="14">
        <f>IF(E7&lt;50,0,E7)</f>
        <v/>
      </c>
    </row>
    <row r="9">
      <c r="A9" s="4" t="inlineStr">
        <is>
          <t>Требуемый внутренний диаметр d ≥ DB(ниже) + 2δ, мм</t>
        </is>
      </c>
      <c r="B9" s="9" t="inlineStr">
        <is>
          <t>d min</t>
        </is>
      </c>
      <c r="C9" s="15">
        <f>D17+2*'Исходные данные'!$B$15</f>
        <v/>
      </c>
      <c r="D9" s="15">
        <f>E17+2*'Исходные данные'!$B$15</f>
        <v/>
      </c>
      <c r="E9" s="15" t="inlineStr">
        <is>
          <t>—</t>
        </is>
      </c>
    </row>
    <row r="10">
      <c r="A10" s="4" t="inlineStr">
        <is>
          <t>Наружный диаметр ОК, мм</t>
        </is>
      </c>
      <c r="B10" s="9" t="inlineStr">
        <is>
          <t>D</t>
        </is>
      </c>
      <c r="C10" s="16">
        <f t="array" ref="C10">MIN(IF('Справочник ГОСТ'!$D$5:$D$78&gt;=C9,'Справочник ГОСТ'!$B$5:$B$78))</f>
        <v/>
      </c>
      <c r="D10" s="16">
        <f t="array" ref="D10">MIN(IF('Справочник ГОСТ'!$D$5:$D$78&gt;=D9,'Справочник ГОСТ'!$B$5:$B$78))</f>
        <v/>
      </c>
      <c r="E10" s="16">
        <f>'Исходные данные'!$B$7</f>
        <v/>
      </c>
    </row>
    <row r="11">
      <c r="A11" s="4" t="inlineStr">
        <is>
          <t>Условный диаметр, мм</t>
        </is>
      </c>
      <c r="B11" s="9" t="inlineStr">
        <is>
          <t>Dусл</t>
        </is>
      </c>
      <c r="C11" s="15">
        <f>INDEX('Справочник ГОСТ'!$A$5:$A$78,MATCH(C10,'Справочник ГОСТ'!$B$5:$B$78,0))</f>
        <v/>
      </c>
      <c r="D11" s="15">
        <f>INDEX('Справочник ГОСТ'!$A$5:$A$78,MATCH(D10,'Справочник ГОСТ'!$B$5:$B$78,0))</f>
        <v/>
      </c>
      <c r="E11" s="15">
        <f>INDEX('Справочник ГОСТ'!$A$5:$A$78,MATCH(E10,'Справочник ГОСТ'!$B$5:$B$78,0))</f>
        <v/>
      </c>
    </row>
    <row r="12">
      <c r="A12" s="4" t="inlineStr">
        <is>
          <t>Толщина стенки (предварительно), мм</t>
        </is>
      </c>
      <c r="B12" s="9" t="inlineStr">
        <is>
          <t>s</t>
        </is>
      </c>
      <c r="C12" s="17" t="n">
        <v>8.9</v>
      </c>
      <c r="D12" s="17" t="n">
        <v>10.9</v>
      </c>
      <c r="E12" s="15" t="inlineStr">
        <is>
          <t>по расчёту на прочность</t>
        </is>
      </c>
    </row>
    <row r="13">
      <c r="A13" s="4" t="inlineStr">
        <is>
          <t>Внутренний диаметр, мм</t>
        </is>
      </c>
      <c r="B13" s="9" t="inlineStr">
        <is>
          <t>d</t>
        </is>
      </c>
      <c r="C13" s="15">
        <f>SUMIFS('Справочник ГОСТ'!$D$5:$D$78,'Справочник ГОСТ'!$B$5:$B$78,C10,'Справочник ГОСТ'!$C$5:$C$78,C12)</f>
        <v/>
      </c>
      <c r="D13" s="15">
        <f>SUMIFS('Справочник ГОСТ'!$D$5:$D$78,'Справочник ГОСТ'!$B$5:$B$78,D10,'Справочник ГОСТ'!$C$5:$C$78,D12)</f>
        <v/>
      </c>
      <c r="E13" s="15" t="inlineStr">
        <is>
          <t>—</t>
        </is>
      </c>
    </row>
    <row r="14">
      <c r="A14" s="4" t="inlineStr">
        <is>
          <t>Диаметр муфты ОТТМ, мм</t>
        </is>
      </c>
      <c r="B14" s="9" t="inlineStr">
        <is>
          <t>dм</t>
        </is>
      </c>
      <c r="C14" s="15">
        <f>INDEX('Справочник ГОСТ'!$E$5:$E$78,MATCH(C10,'Справочник ГОСТ'!$B$5:$B$78,0))</f>
        <v/>
      </c>
      <c r="D14" s="15">
        <f>INDEX('Справочник ГОСТ'!$E$5:$E$78,MATCH(D10,'Справочник ГОСТ'!$B$5:$B$78,0))</f>
        <v/>
      </c>
      <c r="E14" s="15">
        <f>INDEX('Справочник ГОСТ'!$E$5:$E$78,MATCH(E10,'Справочник ГОСТ'!$B$5:$B$78,0))</f>
        <v/>
      </c>
    </row>
    <row r="15">
      <c r="A15" s="4" t="inlineStr">
        <is>
          <t>Радиальный зазор муфта–стенка, мм</t>
        </is>
      </c>
      <c r="B15" s="9" t="inlineStr">
        <is>
          <t>Δ</t>
        </is>
      </c>
      <c r="C15" s="15">
        <f t="array" ref="C15">MIN(IF('Справочник ГОСТ'!$I$5:$I$9&gt;=C11,'Справочник ГОСТ'!$J$5:$J$9))</f>
        <v/>
      </c>
      <c r="D15" s="15">
        <f t="array" ref="D15">MIN(IF('Справочник ГОСТ'!$I$5:$I$9&gt;=D11,'Справочник ГОСТ'!$J$5:$J$9))</f>
        <v/>
      </c>
      <c r="E15" s="15">
        <f t="array" ref="E15">MIN(IF('Справочник ГОСТ'!$I$5:$I$9&gt;=E11,'Справочник ГОСТ'!$J$5:$J$9))</f>
        <v/>
      </c>
    </row>
    <row r="16">
      <c r="A16" s="4" t="inlineStr">
        <is>
          <t>Расчётный диаметр долота, мм</t>
        </is>
      </c>
      <c r="B16" s="9" t="inlineStr">
        <is>
          <t>DB расч</t>
        </is>
      </c>
      <c r="C16" s="15">
        <f>C14+2*C15</f>
        <v/>
      </c>
      <c r="D16" s="15">
        <f>D14+2*D15</f>
        <v/>
      </c>
      <c r="E16" s="15">
        <f>E14+2*E15</f>
        <v/>
      </c>
    </row>
    <row r="17">
      <c r="A17" s="4" t="inlineStr">
        <is>
          <t>Диаметр долота по ГОСТ 20692, мм</t>
        </is>
      </c>
      <c r="B17" s="9" t="inlineStr">
        <is>
          <t>DB</t>
        </is>
      </c>
      <c r="C17" s="16">
        <f t="array" ref="C17">MIN(IF('Справочник ГОСТ'!$G$5:$G$46&gt;=C16,'Справочник ГОСТ'!$G$5:$G$46))</f>
        <v/>
      </c>
      <c r="D17" s="16">
        <f t="array" ref="D17">MIN(IF('Справочник ГОСТ'!$G$5:$G$46&gt;=D16,'Справочник ГОСТ'!$G$5:$G$46))</f>
        <v/>
      </c>
      <c r="E17" s="16">
        <f t="array" ref="E17">MIN(IF('Справочник ГОСТ'!$G$5:$G$46&gt;=E16,'Справочник ГОСТ'!$G$5:$G$46))</f>
        <v/>
      </c>
    </row>
    <row r="18">
      <c r="A18" s="4" t="inlineStr">
        <is>
          <t>Зазор долота ниже лежащего интервала в этой ОК, мм</t>
        </is>
      </c>
      <c r="B18" s="9" t="inlineStr">
        <is>
          <t>δ факт</t>
        </is>
      </c>
      <c r="C18" s="15">
        <f>(C13-D17)/2</f>
        <v/>
      </c>
      <c r="D18" s="15">
        <f>(D13-E17)/2</f>
        <v/>
      </c>
      <c r="E18" s="15" t="inlineStr">
        <is>
          <t>—</t>
        </is>
      </c>
    </row>
    <row r="20">
      <c r="A20" s="6" t="inlineStr">
        <is>
          <t>Обоснование</t>
        </is>
      </c>
    </row>
    <row r="21" ht="32" customHeight="1">
      <c r="A21" s="18" t="inlineStr">
        <is>
          <t>1) Кондуктор: перекрывает неустойчивые породы, склонные к поглощениям (0–500 м); башмак на 10 м ниже, цемент до устья.</t>
        </is>
      </c>
    </row>
    <row r="22" ht="32" customHeight="1">
      <c r="A22" s="18" t="inlineStr">
        <is>
          <t>2) Промежуточная: интервал 0–1100 м несовместим с известняком с АВПД (нужна ρR = 1,50 &gt; KFR = 1,33 и 1,43 выше; ρR = 1,12 &lt; KF = 1,33 известняка). Башмак — в подошве алевролитов. Расчётная кровля цемента 10 м → цементируем до устья.</t>
        </is>
      </c>
    </row>
    <row r="23" ht="32" customHeight="1">
      <c r="A23" s="18" t="inlineStr">
        <is>
          <t>3) Эксплуатационная: до проектной глубины; кровля цемента 600 м (500 м над башмаком промежуточной).</t>
        </is>
      </c>
    </row>
    <row r="24" ht="32" customHeight="1">
      <c r="A24" s="18" t="inlineStr">
        <is>
          <t>4) Кондуктор 273,1 мм: подходит только толщина 8,9 мм (d = 255,3 ≥ 254,5 мм); ОК 244,5 мм не проходит (d max = 228,7 мм).</t>
        </is>
      </c>
    </row>
  </sheetData>
  <mergeCells count="4">
    <mergeCell ref="A21:E21"/>
    <mergeCell ref="A22:E22"/>
    <mergeCell ref="A23:E23"/>
    <mergeCell ref="A24:E24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1" customWidth="1" min="4" max="4"/>
    <col width="12" customWidth="1" min="5" max="5"/>
    <col width="13" customWidth="1" min="6" max="6"/>
    <col width="13" customWidth="1" min="7" max="7"/>
    <col width="12" customWidth="1" min="8" max="8"/>
    <col width="12" customWidth="1" min="9" max="9"/>
    <col width="14" customWidth="1" min="10" max="10"/>
  </cols>
  <sheetData>
    <row r="1">
      <c r="A1" s="1" t="inlineStr">
        <is>
          <t>4. Зарубежная методика (схема подбора, семинар 1, стр. 17) и сравнение</t>
        </is>
      </c>
    </row>
    <row r="2">
      <c r="A2" s="2" t="inlineStr">
        <is>
          <t>Цепочка от 5": 6 1/8" (уменьш. зазор) → 7 5/8" → 9 1/2" → 10 3/4" → 12 1/4" (уменьш. зазор)</t>
        </is>
      </c>
    </row>
    <row r="4">
      <c r="A4" s="3" t="inlineStr">
        <is>
          <t>Колонна</t>
        </is>
      </c>
      <c r="B4" s="3" t="inlineStr">
        <is>
          <t>ОК, дюйм</t>
        </is>
      </c>
      <c r="C4" s="3" t="inlineStr">
        <is>
          <t>ОК, мм</t>
        </is>
      </c>
      <c r="D4" s="3" t="inlineStr">
        <is>
          <t>долото, дюйм</t>
        </is>
      </c>
      <c r="E4" s="3" t="inlineStr">
        <is>
          <t>долото, мм</t>
        </is>
      </c>
      <c r="F4" s="3" t="inlineStr">
        <is>
          <t>ОК (РФ), мм</t>
        </is>
      </c>
      <c r="G4" s="3" t="inlineStr">
        <is>
          <t>долото (РФ), мм</t>
        </is>
      </c>
      <c r="H4" s="3" t="inlineStr">
        <is>
          <t>Δ факт., мм</t>
        </is>
      </c>
      <c r="I4" s="3" t="inlineStr">
        <is>
          <t>Δ норм., мм</t>
        </is>
      </c>
      <c r="J4" s="3" t="inlineStr">
        <is>
          <t>тип зазора</t>
        </is>
      </c>
    </row>
    <row r="5">
      <c r="A5" s="15" t="inlineStr">
        <is>
          <t>Эксплуатационная</t>
        </is>
      </c>
      <c r="B5" s="15" t="inlineStr">
        <is>
          <t>5"</t>
        </is>
      </c>
      <c r="C5" s="19" t="n">
        <v>127</v>
      </c>
      <c r="D5" s="15" t="inlineStr">
        <is>
          <t>6 1/8"</t>
        </is>
      </c>
      <c r="E5" s="19" t="n">
        <v>155.6</v>
      </c>
      <c r="F5" s="15">
        <f>Конструкция!E10</f>
        <v/>
      </c>
      <c r="G5" s="15">
        <f>Конструкция!E17</f>
        <v/>
      </c>
      <c r="H5" s="15">
        <f>(E5-INDEX('Справочник ГОСТ'!$E$5:$E$78,MATCH(C5,'Справочник ГОСТ'!$B$5:$B$78,0)))/2</f>
        <v/>
      </c>
      <c r="I5" s="15">
        <f>Конструкция!E15</f>
        <v/>
      </c>
      <c r="J5" s="15" t="inlineStr">
        <is>
          <t>уменьшенный</t>
        </is>
      </c>
    </row>
    <row r="6">
      <c r="A6" s="15" t="inlineStr">
        <is>
          <t>Промежуточная</t>
        </is>
      </c>
      <c r="B6" s="15" t="inlineStr">
        <is>
          <t>7 5/8"</t>
        </is>
      </c>
      <c r="C6" s="19" t="n">
        <v>193.7</v>
      </c>
      <c r="D6" s="15" t="inlineStr">
        <is>
          <t>9 1/2"</t>
        </is>
      </c>
      <c r="E6" s="19" t="n">
        <v>241.3</v>
      </c>
      <c r="F6" s="15">
        <f>Конструкция!D10</f>
        <v/>
      </c>
      <c r="G6" s="15">
        <f>Конструкция!D17</f>
        <v/>
      </c>
      <c r="H6" s="15">
        <f>(E6-INDEX('Справочник ГОСТ'!$E$5:$E$78,MATCH(C6,'Справочник ГОСТ'!$B$5:$B$78,0)))/2</f>
        <v/>
      </c>
      <c r="I6" s="15">
        <f>Конструкция!D15</f>
        <v/>
      </c>
      <c r="J6" s="15" t="inlineStr">
        <is>
          <t>стандартный</t>
        </is>
      </c>
    </row>
    <row r="7">
      <c r="A7" s="15" t="inlineStr">
        <is>
          <t>Кондуктор</t>
        </is>
      </c>
      <c r="B7" s="15" t="inlineStr">
        <is>
          <t>10 3/4"</t>
        </is>
      </c>
      <c r="C7" s="19" t="n">
        <v>273.1</v>
      </c>
      <c r="D7" s="15" t="inlineStr">
        <is>
          <t>12 1/4"</t>
        </is>
      </c>
      <c r="E7" s="19" t="n">
        <v>311.2</v>
      </c>
      <c r="F7" s="15">
        <f>Конструкция!C10</f>
        <v/>
      </c>
      <c r="G7" s="15">
        <f>Конструкция!C17</f>
        <v/>
      </c>
      <c r="H7" s="15">
        <f>(E7-INDEX('Справочник ГОСТ'!$E$5:$E$78,MATCH(C7,'Справочник ГОСТ'!$B$5:$B$78,0)))/2</f>
        <v/>
      </c>
      <c r="I7" s="15">
        <f>Конструкция!C15</f>
        <v/>
      </c>
      <c r="J7" s="15" t="inlineStr">
        <is>
          <t>уменьшенный</t>
        </is>
      </c>
    </row>
    <row r="9">
      <c r="A9" s="4" t="inlineStr">
        <is>
          <t>Совпадают ли диаметры колонн?</t>
        </is>
      </c>
      <c r="B9" s="4" t="n"/>
      <c r="C9" s="4" t="n"/>
      <c r="D9" s="4" t="n"/>
      <c r="E9" s="4" t="n"/>
      <c r="F9" s="4">
        <f>IF(AND(C5=F5,C6=F6,C7=F7),"да — все три колонны одинаковые","нет")</f>
        <v/>
      </c>
      <c r="G9" s="4" t="n"/>
      <c r="H9" s="4" t="n"/>
      <c r="I9" s="4" t="n"/>
      <c r="J9" s="4" t="n"/>
    </row>
    <row r="10">
      <c r="A10" s="4" t="inlineStr">
        <is>
          <t>Разница диаметров долот (заруб. − РФ), мм:</t>
        </is>
      </c>
      <c r="B10" s="4" t="n"/>
      <c r="C10" s="4" t="n"/>
      <c r="D10" s="4" t="n"/>
      <c r="E10" s="4" t="n"/>
      <c r="F10" s="4">
        <f>"экспл.: "&amp;FIXED(E5-G5,1)&amp;"; пром.: "&amp;FIXED(E6-G6,1)&amp;"; конд.: "&amp;FIXED(E7-G7,1)</f>
        <v/>
      </c>
      <c r="G10" s="4" t="n"/>
      <c r="H10" s="4" t="n"/>
      <c r="I10" s="4" t="n"/>
      <c r="J10" s="4" t="n"/>
    </row>
    <row r="12">
      <c r="A12" s="18" t="inlineStr">
        <is>
          <t>Вывод: обе методики дают одинаковые колонны 127,0 / 193,7 / 273,1 мм. Зарубежная схема допускает меньшие зазоры, поэтому долота меньше: 155,6 (нет в ГОСТ 20692) вместо 161,0; 241,3 вместо 244,5; 311,2 вместо 349,2 мм. Для 5" и 10 3/4" колонн схема даёт только вариант с уменьшенным зазором.</t>
        </is>
      </c>
    </row>
    <row r="13"/>
    <row r="14"/>
  </sheetData>
  <mergeCells count="5">
    <mergeCell ref="F9:J9"/>
    <mergeCell ref="A12:J14"/>
    <mergeCell ref="A10:E10"/>
    <mergeCell ref="F10:J10"/>
    <mergeCell ref="A9:E9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7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9" customWidth="1" min="3" max="3"/>
    <col width="10" customWidth="1" min="4" max="4"/>
    <col width="12" customWidth="1" min="5" max="5"/>
    <col width="3" customWidth="1" min="6" max="6"/>
    <col width="14" customWidth="1" min="7" max="7"/>
    <col width="3" customWidth="1" min="8" max="8"/>
    <col width="12" customWidth="1" min="9" max="9"/>
    <col width="9" customWidth="1" min="10" max="10"/>
  </cols>
  <sheetData>
    <row r="1">
      <c r="A1" s="1" t="inlineStr">
        <is>
          <t>Справочные данные</t>
        </is>
      </c>
    </row>
    <row r="2">
      <c r="A2" s="2" t="inlineStr">
        <is>
          <t>ГОСТ 632-80 (трубы ОТТМ), ГОСТ 20692-2003 (долота), зазоры Δ (семинар 1)</t>
        </is>
      </c>
    </row>
    <row r="4">
      <c r="A4" s="3" t="inlineStr">
        <is>
          <t>Ø усл.</t>
        </is>
      </c>
      <c r="B4" s="3" t="inlineStr">
        <is>
          <t>D, мм</t>
        </is>
      </c>
      <c r="C4" s="3" t="inlineStr">
        <is>
          <t>s, мм</t>
        </is>
      </c>
      <c r="D4" s="3" t="inlineStr">
        <is>
          <t>d, мм</t>
        </is>
      </c>
      <c r="E4" s="3" t="inlineStr">
        <is>
          <t>Dн муфты</t>
        </is>
      </c>
      <c r="G4" s="3" t="inlineStr">
        <is>
          <t>Долото, мм</t>
        </is>
      </c>
      <c r="I4" s="3" t="inlineStr">
        <is>
          <t>Ø усл. до</t>
        </is>
      </c>
      <c r="J4" s="3" t="inlineStr">
        <is>
          <t>Δ, мм</t>
        </is>
      </c>
    </row>
    <row r="5">
      <c r="A5" s="15" t="n">
        <v>114</v>
      </c>
      <c r="B5" s="15" t="n">
        <v>114.3</v>
      </c>
      <c r="C5" s="15" t="n">
        <v>6.4</v>
      </c>
      <c r="D5" s="15" t="n">
        <v>101.5</v>
      </c>
      <c r="E5" s="15" t="n">
        <v>127</v>
      </c>
      <c r="G5" s="15" t="n">
        <v>76</v>
      </c>
      <c r="I5" s="9" t="n">
        <v>127</v>
      </c>
      <c r="J5" s="9" t="n">
        <v>8</v>
      </c>
    </row>
    <row r="6">
      <c r="A6" s="15" t="n">
        <v>114</v>
      </c>
      <c r="B6" s="15" t="n">
        <v>114.3</v>
      </c>
      <c r="C6" s="15" t="n">
        <v>7.4</v>
      </c>
      <c r="D6" s="15" t="n">
        <v>99.5</v>
      </c>
      <c r="E6" s="15" t="n">
        <v>127</v>
      </c>
      <c r="G6" s="15" t="n">
        <v>93</v>
      </c>
      <c r="I6" s="9" t="n">
        <v>146</v>
      </c>
      <c r="J6" s="9" t="n">
        <v>10</v>
      </c>
    </row>
    <row r="7">
      <c r="A7" s="15" t="n">
        <v>114</v>
      </c>
      <c r="B7" s="15" t="n">
        <v>114.3</v>
      </c>
      <c r="C7" s="15" t="n">
        <v>8.6</v>
      </c>
      <c r="D7" s="15" t="n">
        <v>97.09999999999999</v>
      </c>
      <c r="E7" s="15" t="n">
        <v>127</v>
      </c>
      <c r="G7" s="15" t="n">
        <v>95.3</v>
      </c>
      <c r="I7" s="9" t="n">
        <v>245</v>
      </c>
      <c r="J7" s="9" t="n">
        <v>13</v>
      </c>
    </row>
    <row r="8">
      <c r="A8" s="15" t="n">
        <v>114</v>
      </c>
      <c r="B8" s="15" t="n">
        <v>114.3</v>
      </c>
      <c r="C8" s="15" t="n">
        <v>10.2</v>
      </c>
      <c r="D8" s="15" t="n">
        <v>93.90000000000001</v>
      </c>
      <c r="E8" s="15" t="n">
        <v>127</v>
      </c>
      <c r="G8" s="15" t="n">
        <v>98.40000000000001</v>
      </c>
      <c r="I8" s="9" t="n">
        <v>299</v>
      </c>
      <c r="J8" s="9" t="n">
        <v>18</v>
      </c>
    </row>
    <row r="9">
      <c r="A9" s="15" t="n">
        <v>127</v>
      </c>
      <c r="B9" s="15" t="n">
        <v>127</v>
      </c>
      <c r="C9" s="15" t="n">
        <v>6.4</v>
      </c>
      <c r="D9" s="15" t="n">
        <v>114.2</v>
      </c>
      <c r="E9" s="15" t="n">
        <v>141.3</v>
      </c>
      <c r="G9" s="15" t="n">
        <v>114.3</v>
      </c>
      <c r="I9" s="9" t="n">
        <v>426</v>
      </c>
      <c r="J9" s="9" t="n">
        <v>22</v>
      </c>
    </row>
    <row r="10">
      <c r="A10" s="15" t="n">
        <v>127</v>
      </c>
      <c r="B10" s="15" t="n">
        <v>127</v>
      </c>
      <c r="C10" s="15" t="n">
        <v>7.5</v>
      </c>
      <c r="D10" s="15" t="n">
        <v>112</v>
      </c>
      <c r="E10" s="15" t="n">
        <v>141.3</v>
      </c>
      <c r="G10" s="15" t="n">
        <v>117.5</v>
      </c>
    </row>
    <row r="11">
      <c r="A11" s="15" t="n">
        <v>127</v>
      </c>
      <c r="B11" s="15" t="n">
        <v>127</v>
      </c>
      <c r="C11" s="15" t="n">
        <v>9.199999999999999</v>
      </c>
      <c r="D11" s="15" t="n">
        <v>108.6</v>
      </c>
      <c r="E11" s="15" t="n">
        <v>141.3</v>
      </c>
      <c r="G11" s="15" t="n">
        <v>120.6</v>
      </c>
    </row>
    <row r="12">
      <c r="A12" s="15" t="n">
        <v>127</v>
      </c>
      <c r="B12" s="15" t="n">
        <v>127</v>
      </c>
      <c r="C12" s="15" t="n">
        <v>10.7</v>
      </c>
      <c r="D12" s="15" t="n">
        <v>105.6</v>
      </c>
      <c r="E12" s="15" t="n">
        <v>141.3</v>
      </c>
      <c r="G12" s="15" t="n">
        <v>127</v>
      </c>
    </row>
    <row r="13">
      <c r="A13" s="15" t="n">
        <v>140</v>
      </c>
      <c r="B13" s="15" t="n">
        <v>139.7</v>
      </c>
      <c r="C13" s="15" t="n">
        <v>6.2</v>
      </c>
      <c r="D13" s="15" t="n">
        <v>127.3</v>
      </c>
      <c r="E13" s="15" t="n">
        <v>153.7</v>
      </c>
      <c r="G13" s="15" t="n">
        <v>130.2</v>
      </c>
    </row>
    <row r="14">
      <c r="A14" s="15" t="n">
        <v>140</v>
      </c>
      <c r="B14" s="15" t="n">
        <v>139.7</v>
      </c>
      <c r="C14" s="15" t="n">
        <v>7</v>
      </c>
      <c r="D14" s="15" t="n">
        <v>125.7</v>
      </c>
      <c r="E14" s="15" t="n">
        <v>153.7</v>
      </c>
      <c r="G14" s="15" t="n">
        <v>132</v>
      </c>
    </row>
    <row r="15">
      <c r="A15" s="15" t="n">
        <v>140</v>
      </c>
      <c r="B15" s="15" t="n">
        <v>139.7</v>
      </c>
      <c r="C15" s="15" t="n">
        <v>7.7</v>
      </c>
      <c r="D15" s="15" t="n">
        <v>124.3</v>
      </c>
      <c r="E15" s="15" t="n">
        <v>153.7</v>
      </c>
      <c r="G15" s="15" t="n">
        <v>139.7</v>
      </c>
    </row>
    <row r="16">
      <c r="A16" s="15" t="n">
        <v>140</v>
      </c>
      <c r="B16" s="15" t="n">
        <v>139.7</v>
      </c>
      <c r="C16" s="15" t="n">
        <v>9.199999999999999</v>
      </c>
      <c r="D16" s="15" t="n">
        <v>121.3</v>
      </c>
      <c r="E16" s="15" t="n">
        <v>153.7</v>
      </c>
      <c r="G16" s="15" t="n">
        <v>146</v>
      </c>
    </row>
    <row r="17">
      <c r="A17" s="15" t="n">
        <v>140</v>
      </c>
      <c r="B17" s="15" t="n">
        <v>139.7</v>
      </c>
      <c r="C17" s="15" t="n">
        <v>10.5</v>
      </c>
      <c r="D17" s="15" t="n">
        <v>118.7</v>
      </c>
      <c r="E17" s="15" t="n">
        <v>153.7</v>
      </c>
      <c r="G17" s="15" t="n">
        <v>151</v>
      </c>
    </row>
    <row r="18">
      <c r="A18" s="15" t="n">
        <v>146</v>
      </c>
      <c r="B18" s="15" t="n">
        <v>146.1</v>
      </c>
      <c r="C18" s="15" t="n">
        <v>6.5</v>
      </c>
      <c r="D18" s="15" t="n">
        <v>133.1</v>
      </c>
      <c r="E18" s="15" t="n">
        <v>166</v>
      </c>
      <c r="G18" s="15" t="n">
        <v>161</v>
      </c>
    </row>
    <row r="19">
      <c r="A19" s="15" t="n">
        <v>146</v>
      </c>
      <c r="B19" s="15" t="n">
        <v>146.1</v>
      </c>
      <c r="C19" s="15" t="n">
        <v>7</v>
      </c>
      <c r="D19" s="15" t="n">
        <v>132.1</v>
      </c>
      <c r="E19" s="15" t="n">
        <v>166</v>
      </c>
      <c r="G19" s="15" t="n">
        <v>165.1</v>
      </c>
    </row>
    <row r="20">
      <c r="A20" s="15" t="n">
        <v>146</v>
      </c>
      <c r="B20" s="15" t="n">
        <v>146.1</v>
      </c>
      <c r="C20" s="15" t="n">
        <v>7.7</v>
      </c>
      <c r="D20" s="15" t="n">
        <v>130.7</v>
      </c>
      <c r="E20" s="15" t="n">
        <v>166</v>
      </c>
      <c r="G20" s="15" t="n">
        <v>171.4</v>
      </c>
    </row>
    <row r="21">
      <c r="A21" s="15" t="n">
        <v>146</v>
      </c>
      <c r="B21" s="15" t="n">
        <v>146.1</v>
      </c>
      <c r="C21" s="15" t="n">
        <v>8.5</v>
      </c>
      <c r="D21" s="15" t="n">
        <v>129.1</v>
      </c>
      <c r="E21" s="15" t="n">
        <v>166</v>
      </c>
      <c r="G21" s="15" t="n">
        <v>187.3</v>
      </c>
    </row>
    <row r="22">
      <c r="A22" s="15" t="n">
        <v>146</v>
      </c>
      <c r="B22" s="15" t="n">
        <v>146.1</v>
      </c>
      <c r="C22" s="15" t="n">
        <v>9.5</v>
      </c>
      <c r="D22" s="15" t="n">
        <v>127.1</v>
      </c>
      <c r="E22" s="15" t="n">
        <v>166</v>
      </c>
      <c r="G22" s="15" t="n">
        <v>190.5</v>
      </c>
    </row>
    <row r="23">
      <c r="A23" s="15" t="n">
        <v>146</v>
      </c>
      <c r="B23" s="15" t="n">
        <v>146.1</v>
      </c>
      <c r="C23" s="15" t="n">
        <v>10.7</v>
      </c>
      <c r="D23" s="15" t="n">
        <v>124.7</v>
      </c>
      <c r="E23" s="15" t="n">
        <v>166</v>
      </c>
      <c r="G23" s="15" t="n">
        <v>200</v>
      </c>
    </row>
    <row r="24">
      <c r="A24" s="15" t="n">
        <v>168</v>
      </c>
      <c r="B24" s="15" t="n">
        <v>168.3</v>
      </c>
      <c r="C24" s="15" t="n">
        <v>7.3</v>
      </c>
      <c r="D24" s="15" t="n">
        <v>153.7</v>
      </c>
      <c r="E24" s="15" t="n">
        <v>187.7</v>
      </c>
      <c r="G24" s="15" t="n">
        <v>212.7</v>
      </c>
    </row>
    <row r="25">
      <c r="A25" s="15" t="n">
        <v>168</v>
      </c>
      <c r="B25" s="15" t="n">
        <v>168.3</v>
      </c>
      <c r="C25" s="15" t="n">
        <v>8</v>
      </c>
      <c r="D25" s="15" t="n">
        <v>152.3</v>
      </c>
      <c r="E25" s="15" t="n">
        <v>187.7</v>
      </c>
      <c r="G25" s="15" t="n">
        <v>215.9</v>
      </c>
    </row>
    <row r="26">
      <c r="A26" s="15" t="n">
        <v>168</v>
      </c>
      <c r="B26" s="15" t="n">
        <v>168.3</v>
      </c>
      <c r="C26" s="15" t="n">
        <v>8.9</v>
      </c>
      <c r="D26" s="15" t="n">
        <v>150.5</v>
      </c>
      <c r="E26" s="15" t="n">
        <v>187.7</v>
      </c>
      <c r="G26" s="15" t="n">
        <v>222.3</v>
      </c>
    </row>
    <row r="27">
      <c r="A27" s="15" t="n">
        <v>168</v>
      </c>
      <c r="B27" s="15" t="n">
        <v>168.3</v>
      </c>
      <c r="C27" s="15" t="n">
        <v>10.6</v>
      </c>
      <c r="D27" s="15" t="n">
        <v>147.1</v>
      </c>
      <c r="E27" s="15" t="n">
        <v>187.7</v>
      </c>
      <c r="G27" s="15" t="n">
        <v>238.1</v>
      </c>
    </row>
    <row r="28">
      <c r="A28" s="15" t="n">
        <v>168</v>
      </c>
      <c r="B28" s="15" t="n">
        <v>168.3</v>
      </c>
      <c r="C28" s="15" t="n">
        <v>12.1</v>
      </c>
      <c r="D28" s="15" t="n">
        <v>144.1</v>
      </c>
      <c r="E28" s="15" t="n">
        <v>187.7</v>
      </c>
      <c r="G28" s="15" t="n">
        <v>241.3</v>
      </c>
    </row>
    <row r="29">
      <c r="A29" s="15" t="n">
        <v>178</v>
      </c>
      <c r="B29" s="15" t="n">
        <v>177.8</v>
      </c>
      <c r="C29" s="15" t="n">
        <v>6.9</v>
      </c>
      <c r="D29" s="15" t="n">
        <v>164</v>
      </c>
      <c r="E29" s="15" t="n">
        <v>194.5</v>
      </c>
      <c r="G29" s="15" t="n">
        <v>244.5</v>
      </c>
    </row>
    <row r="30">
      <c r="A30" s="15" t="n">
        <v>178</v>
      </c>
      <c r="B30" s="15" t="n">
        <v>177.8</v>
      </c>
      <c r="C30" s="15" t="n">
        <v>8.1</v>
      </c>
      <c r="D30" s="15" t="n">
        <v>161.6</v>
      </c>
      <c r="E30" s="15" t="n">
        <v>194.5</v>
      </c>
      <c r="G30" s="15" t="n">
        <v>250.8</v>
      </c>
    </row>
    <row r="31">
      <c r="A31" s="15" t="n">
        <v>178</v>
      </c>
      <c r="B31" s="15" t="n">
        <v>177.8</v>
      </c>
      <c r="C31" s="15" t="n">
        <v>9.199999999999999</v>
      </c>
      <c r="D31" s="15" t="n">
        <v>159.4</v>
      </c>
      <c r="E31" s="15" t="n">
        <v>194.5</v>
      </c>
      <c r="G31" s="15" t="n">
        <v>269.9</v>
      </c>
    </row>
    <row r="32">
      <c r="A32" s="15" t="n">
        <v>178</v>
      </c>
      <c r="B32" s="15" t="n">
        <v>177.8</v>
      </c>
      <c r="C32" s="15" t="n">
        <v>10.4</v>
      </c>
      <c r="D32" s="15" t="n">
        <v>157</v>
      </c>
      <c r="E32" s="15" t="n">
        <v>194.5</v>
      </c>
      <c r="G32" s="15" t="n">
        <v>295.3</v>
      </c>
    </row>
    <row r="33">
      <c r="A33" s="15" t="n">
        <v>178</v>
      </c>
      <c r="B33" s="15" t="n">
        <v>177.8</v>
      </c>
      <c r="C33" s="15" t="n">
        <v>11.5</v>
      </c>
      <c r="D33" s="15" t="n">
        <v>154.8</v>
      </c>
      <c r="E33" s="15" t="n">
        <v>194.5</v>
      </c>
      <c r="G33" s="15" t="n">
        <v>304.8</v>
      </c>
    </row>
    <row r="34">
      <c r="A34" s="15" t="n">
        <v>178</v>
      </c>
      <c r="B34" s="15" t="n">
        <v>177.8</v>
      </c>
      <c r="C34" s="15" t="n">
        <v>12.7</v>
      </c>
      <c r="D34" s="15" t="n">
        <v>152.4</v>
      </c>
      <c r="E34" s="15" t="n">
        <v>194.5</v>
      </c>
      <c r="G34" s="15" t="n">
        <v>311.1</v>
      </c>
    </row>
    <row r="35">
      <c r="A35" s="15" t="n">
        <v>178</v>
      </c>
      <c r="B35" s="15" t="n">
        <v>177.8</v>
      </c>
      <c r="C35" s="15" t="n">
        <v>13.7</v>
      </c>
      <c r="D35" s="15" t="n">
        <v>150.4</v>
      </c>
      <c r="E35" s="15" t="n">
        <v>194.5</v>
      </c>
      <c r="G35" s="15" t="n">
        <v>320</v>
      </c>
    </row>
    <row r="36">
      <c r="A36" s="15" t="n">
        <v>178</v>
      </c>
      <c r="B36" s="15" t="n">
        <v>177.8</v>
      </c>
      <c r="C36" s="15" t="n">
        <v>15</v>
      </c>
      <c r="D36" s="15" t="n">
        <v>147.8</v>
      </c>
      <c r="E36" s="15" t="n">
        <v>194.5</v>
      </c>
      <c r="G36" s="15" t="n">
        <v>349.2</v>
      </c>
    </row>
    <row r="37">
      <c r="A37" s="15" t="n">
        <v>194</v>
      </c>
      <c r="B37" s="15" t="n">
        <v>193.7</v>
      </c>
      <c r="C37" s="15" t="n">
        <v>7.6</v>
      </c>
      <c r="D37" s="15" t="n">
        <v>178.5</v>
      </c>
      <c r="E37" s="15" t="n">
        <v>215.9</v>
      </c>
      <c r="G37" s="15" t="n">
        <v>365.1</v>
      </c>
    </row>
    <row r="38">
      <c r="A38" s="15" t="n">
        <v>194</v>
      </c>
      <c r="B38" s="15" t="n">
        <v>193.7</v>
      </c>
      <c r="C38" s="15" t="n">
        <v>8.300000000000001</v>
      </c>
      <c r="D38" s="15" t="n">
        <v>177.1</v>
      </c>
      <c r="E38" s="15" t="n">
        <v>215.9</v>
      </c>
      <c r="G38" s="15" t="n">
        <v>368.3</v>
      </c>
    </row>
    <row r="39">
      <c r="A39" s="15" t="n">
        <v>194</v>
      </c>
      <c r="B39" s="15" t="n">
        <v>193.7</v>
      </c>
      <c r="C39" s="15" t="n">
        <v>9.5</v>
      </c>
      <c r="D39" s="15" t="n">
        <v>174.7</v>
      </c>
      <c r="E39" s="15" t="n">
        <v>215.9</v>
      </c>
      <c r="G39" s="15" t="n">
        <v>371.5</v>
      </c>
    </row>
    <row r="40">
      <c r="A40" s="15" t="n">
        <v>194</v>
      </c>
      <c r="B40" s="15" t="n">
        <v>193.7</v>
      </c>
      <c r="C40" s="15" t="n">
        <v>10.9</v>
      </c>
      <c r="D40" s="15" t="n">
        <v>171.9</v>
      </c>
      <c r="E40" s="15" t="n">
        <v>215.9</v>
      </c>
      <c r="G40" s="15" t="n">
        <v>374.6</v>
      </c>
    </row>
    <row r="41">
      <c r="A41" s="15" t="n">
        <v>194</v>
      </c>
      <c r="B41" s="15" t="n">
        <v>193.7</v>
      </c>
      <c r="C41" s="15" t="n">
        <v>12.7</v>
      </c>
      <c r="D41" s="15" t="n">
        <v>168.3</v>
      </c>
      <c r="E41" s="15" t="n">
        <v>215.9</v>
      </c>
      <c r="G41" s="15" t="n">
        <v>393.7</v>
      </c>
    </row>
    <row r="42">
      <c r="A42" s="15" t="n">
        <v>194</v>
      </c>
      <c r="B42" s="15" t="n">
        <v>193.7</v>
      </c>
      <c r="C42" s="15" t="n">
        <v>15.1</v>
      </c>
      <c r="D42" s="15" t="n">
        <v>163.5</v>
      </c>
      <c r="E42" s="15" t="n">
        <v>215.9</v>
      </c>
      <c r="G42" s="15" t="n">
        <v>444.5</v>
      </c>
    </row>
    <row r="43">
      <c r="A43" s="15" t="n">
        <v>219</v>
      </c>
      <c r="B43" s="15" t="n">
        <v>219.1</v>
      </c>
      <c r="C43" s="15" t="n">
        <v>7.7</v>
      </c>
      <c r="D43" s="15" t="n">
        <v>203.7</v>
      </c>
      <c r="E43" s="15" t="n">
        <v>244.5</v>
      </c>
      <c r="G43" s="15" t="n">
        <v>469.9</v>
      </c>
    </row>
    <row r="44">
      <c r="A44" s="15" t="n">
        <v>219</v>
      </c>
      <c r="B44" s="15" t="n">
        <v>219.1</v>
      </c>
      <c r="C44" s="15" t="n">
        <v>8.9</v>
      </c>
      <c r="D44" s="15" t="n">
        <v>201.3</v>
      </c>
      <c r="E44" s="15" t="n">
        <v>244.5</v>
      </c>
      <c r="G44" s="15" t="n">
        <v>473.1</v>
      </c>
    </row>
    <row r="45">
      <c r="A45" s="15" t="n">
        <v>219</v>
      </c>
      <c r="B45" s="15" t="n">
        <v>219.1</v>
      </c>
      <c r="C45" s="15" t="n">
        <v>10.2</v>
      </c>
      <c r="D45" s="15" t="n">
        <v>198.7</v>
      </c>
      <c r="E45" s="15" t="n">
        <v>244.5</v>
      </c>
      <c r="G45" s="15" t="n">
        <v>490</v>
      </c>
    </row>
    <row r="46">
      <c r="A46" s="15" t="n">
        <v>219</v>
      </c>
      <c r="B46" s="15" t="n">
        <v>219.1</v>
      </c>
      <c r="C46" s="15" t="n">
        <v>11.4</v>
      </c>
      <c r="D46" s="15" t="n">
        <v>196.3</v>
      </c>
      <c r="E46" s="15" t="n">
        <v>244.5</v>
      </c>
      <c r="G46" s="15" t="n">
        <v>508</v>
      </c>
    </row>
    <row r="47">
      <c r="A47" s="15" t="n">
        <v>219</v>
      </c>
      <c r="B47" s="15" t="n">
        <v>219.1</v>
      </c>
      <c r="C47" s="15" t="n">
        <v>12.7</v>
      </c>
      <c r="D47" s="15" t="n">
        <v>193.7</v>
      </c>
      <c r="E47" s="15" t="n">
        <v>244.5</v>
      </c>
    </row>
    <row r="48">
      <c r="A48" s="15" t="n">
        <v>219</v>
      </c>
      <c r="B48" s="15" t="n">
        <v>219.1</v>
      </c>
      <c r="C48" s="15" t="n">
        <v>14.2</v>
      </c>
      <c r="D48" s="15" t="n">
        <v>190.7</v>
      </c>
      <c r="E48" s="15" t="n">
        <v>244.5</v>
      </c>
    </row>
    <row r="49">
      <c r="A49" s="15" t="n">
        <v>245</v>
      </c>
      <c r="B49" s="15" t="n">
        <v>244.5</v>
      </c>
      <c r="C49" s="15" t="n">
        <v>7.9</v>
      </c>
      <c r="D49" s="15" t="n">
        <v>228.7</v>
      </c>
      <c r="E49" s="15" t="n">
        <v>269.9</v>
      </c>
    </row>
    <row r="50">
      <c r="A50" s="15" t="n">
        <v>245</v>
      </c>
      <c r="B50" s="15" t="n">
        <v>244.5</v>
      </c>
      <c r="C50" s="15" t="n">
        <v>8.9</v>
      </c>
      <c r="D50" s="15" t="n">
        <v>226.7</v>
      </c>
      <c r="E50" s="15" t="n">
        <v>269.9</v>
      </c>
    </row>
    <row r="51">
      <c r="A51" s="15" t="n">
        <v>245</v>
      </c>
      <c r="B51" s="15" t="n">
        <v>244.5</v>
      </c>
      <c r="C51" s="15" t="n">
        <v>10</v>
      </c>
      <c r="D51" s="15" t="n">
        <v>224.5</v>
      </c>
      <c r="E51" s="15" t="n">
        <v>269.9</v>
      </c>
    </row>
    <row r="52">
      <c r="A52" s="15" t="n">
        <v>245</v>
      </c>
      <c r="B52" s="15" t="n">
        <v>244.5</v>
      </c>
      <c r="C52" s="15" t="n">
        <v>11.1</v>
      </c>
      <c r="D52" s="15" t="n">
        <v>222.3</v>
      </c>
      <c r="E52" s="15" t="n">
        <v>269.9</v>
      </c>
    </row>
    <row r="53">
      <c r="A53" s="15" t="n">
        <v>245</v>
      </c>
      <c r="B53" s="15" t="n">
        <v>244.5</v>
      </c>
      <c r="C53" s="15" t="n">
        <v>12</v>
      </c>
      <c r="D53" s="15" t="n">
        <v>220.5</v>
      </c>
      <c r="E53" s="15" t="n">
        <v>269.9</v>
      </c>
    </row>
    <row r="54">
      <c r="A54" s="15" t="n">
        <v>245</v>
      </c>
      <c r="B54" s="15" t="n">
        <v>244.5</v>
      </c>
      <c r="C54" s="15" t="n">
        <v>13.8</v>
      </c>
      <c r="D54" s="15" t="n">
        <v>216.9</v>
      </c>
      <c r="E54" s="15" t="n">
        <v>269.9</v>
      </c>
    </row>
    <row r="55">
      <c r="A55" s="15" t="n">
        <v>245</v>
      </c>
      <c r="B55" s="15" t="n">
        <v>244.5</v>
      </c>
      <c r="C55" s="15" t="n">
        <v>15.9</v>
      </c>
      <c r="D55" s="15" t="n">
        <v>212.7</v>
      </c>
      <c r="E55" s="15" t="n">
        <v>269.9</v>
      </c>
    </row>
    <row r="56">
      <c r="A56" s="15" t="n">
        <v>273</v>
      </c>
      <c r="B56" s="15" t="n">
        <v>273.1</v>
      </c>
      <c r="C56" s="15" t="n">
        <v>8.9</v>
      </c>
      <c r="D56" s="15" t="n">
        <v>255.3</v>
      </c>
      <c r="E56" s="15" t="n">
        <v>298.5</v>
      </c>
    </row>
    <row r="57">
      <c r="A57" s="15" t="n">
        <v>273</v>
      </c>
      <c r="B57" s="15" t="n">
        <v>273.1</v>
      </c>
      <c r="C57" s="15" t="n">
        <v>10.2</v>
      </c>
      <c r="D57" s="15" t="n">
        <v>252.7</v>
      </c>
      <c r="E57" s="15" t="n">
        <v>298.5</v>
      </c>
    </row>
    <row r="58">
      <c r="A58" s="15" t="n">
        <v>273</v>
      </c>
      <c r="B58" s="15" t="n">
        <v>273.1</v>
      </c>
      <c r="C58" s="15" t="n">
        <v>11.4</v>
      </c>
      <c r="D58" s="15" t="n">
        <v>250.3</v>
      </c>
      <c r="E58" s="15" t="n">
        <v>298.5</v>
      </c>
    </row>
    <row r="59">
      <c r="A59" s="15" t="n">
        <v>273</v>
      </c>
      <c r="B59" s="15" t="n">
        <v>273.1</v>
      </c>
      <c r="C59" s="15" t="n">
        <v>12.6</v>
      </c>
      <c r="D59" s="15" t="n">
        <v>247.9</v>
      </c>
      <c r="E59" s="15" t="n">
        <v>298.5</v>
      </c>
    </row>
    <row r="60">
      <c r="A60" s="15" t="n">
        <v>273</v>
      </c>
      <c r="B60" s="15" t="n">
        <v>273.1</v>
      </c>
      <c r="C60" s="15" t="n">
        <v>13.8</v>
      </c>
      <c r="D60" s="15" t="n">
        <v>245.5</v>
      </c>
      <c r="E60" s="15" t="n">
        <v>298.5</v>
      </c>
    </row>
    <row r="61">
      <c r="A61" s="15" t="n">
        <v>273</v>
      </c>
      <c r="B61" s="15" t="n">
        <v>273.1</v>
      </c>
      <c r="C61" s="15" t="n">
        <v>15.1</v>
      </c>
      <c r="D61" s="15" t="n">
        <v>242.9</v>
      </c>
      <c r="E61" s="15" t="n">
        <v>298.5</v>
      </c>
    </row>
    <row r="62">
      <c r="A62" s="15" t="n">
        <v>273</v>
      </c>
      <c r="B62" s="15" t="n">
        <v>273.1</v>
      </c>
      <c r="C62" s="15" t="n">
        <v>16.5</v>
      </c>
      <c r="D62" s="15" t="n">
        <v>240.1</v>
      </c>
      <c r="E62" s="15" t="n">
        <v>298.5</v>
      </c>
    </row>
    <row r="63">
      <c r="A63" s="15" t="n">
        <v>299</v>
      </c>
      <c r="B63" s="15" t="n">
        <v>298.5</v>
      </c>
      <c r="C63" s="15" t="n">
        <v>8.5</v>
      </c>
      <c r="D63" s="15" t="n">
        <v>281.5</v>
      </c>
      <c r="E63" s="15" t="n">
        <v>323.9</v>
      </c>
    </row>
    <row r="64">
      <c r="A64" s="15" t="n">
        <v>299</v>
      </c>
      <c r="B64" s="15" t="n">
        <v>298.5</v>
      </c>
      <c r="C64" s="15" t="n">
        <v>9.5</v>
      </c>
      <c r="D64" s="15" t="n">
        <v>279.5</v>
      </c>
      <c r="E64" s="15" t="n">
        <v>323.9</v>
      </c>
    </row>
    <row r="65">
      <c r="A65" s="15" t="n">
        <v>299</v>
      </c>
      <c r="B65" s="15" t="n">
        <v>298.5</v>
      </c>
      <c r="C65" s="15" t="n">
        <v>11.1</v>
      </c>
      <c r="D65" s="15" t="n">
        <v>276.3</v>
      </c>
      <c r="E65" s="15" t="n">
        <v>323.9</v>
      </c>
    </row>
    <row r="66">
      <c r="A66" s="15" t="n">
        <v>299</v>
      </c>
      <c r="B66" s="15" t="n">
        <v>298.5</v>
      </c>
      <c r="C66" s="15" t="n">
        <v>12.4</v>
      </c>
      <c r="D66" s="15" t="n">
        <v>273.7</v>
      </c>
      <c r="E66" s="15" t="n">
        <v>323.9</v>
      </c>
    </row>
    <row r="67">
      <c r="A67" s="15" t="n">
        <v>299</v>
      </c>
      <c r="B67" s="15" t="n">
        <v>298.5</v>
      </c>
      <c r="C67" s="15" t="n">
        <v>14.8</v>
      </c>
      <c r="D67" s="15" t="n">
        <v>268.9</v>
      </c>
      <c r="E67" s="15" t="n">
        <v>323.9</v>
      </c>
    </row>
    <row r="68">
      <c r="A68" s="15" t="n">
        <v>324</v>
      </c>
      <c r="B68" s="15" t="n">
        <v>323.9</v>
      </c>
      <c r="C68" s="15" t="n">
        <v>8.5</v>
      </c>
      <c r="D68" s="15" t="n">
        <v>306.9</v>
      </c>
      <c r="E68" s="15" t="n">
        <v>351</v>
      </c>
    </row>
    <row r="69">
      <c r="A69" s="15" t="n">
        <v>324</v>
      </c>
      <c r="B69" s="15" t="n">
        <v>323.9</v>
      </c>
      <c r="C69" s="15" t="n">
        <v>9.5</v>
      </c>
      <c r="D69" s="15" t="n">
        <v>304.9</v>
      </c>
      <c r="E69" s="15" t="n">
        <v>351</v>
      </c>
    </row>
    <row r="70">
      <c r="A70" s="15" t="n">
        <v>324</v>
      </c>
      <c r="B70" s="15" t="n">
        <v>323.9</v>
      </c>
      <c r="C70" s="15" t="n">
        <v>11</v>
      </c>
      <c r="D70" s="15" t="n">
        <v>301.9</v>
      </c>
      <c r="E70" s="15" t="n">
        <v>351</v>
      </c>
    </row>
    <row r="71">
      <c r="A71" s="15" t="n">
        <v>324</v>
      </c>
      <c r="B71" s="15" t="n">
        <v>323.9</v>
      </c>
      <c r="C71" s="15" t="n">
        <v>12.4</v>
      </c>
      <c r="D71" s="15" t="n">
        <v>299.1</v>
      </c>
      <c r="E71" s="15" t="n">
        <v>351</v>
      </c>
    </row>
    <row r="72">
      <c r="A72" s="15" t="n">
        <v>324</v>
      </c>
      <c r="B72" s="15" t="n">
        <v>323.9</v>
      </c>
      <c r="C72" s="15" t="n">
        <v>14</v>
      </c>
      <c r="D72" s="15" t="n">
        <v>295.9</v>
      </c>
      <c r="E72" s="15" t="n">
        <v>351</v>
      </c>
    </row>
    <row r="73">
      <c r="A73" s="15" t="n">
        <v>340</v>
      </c>
      <c r="B73" s="15" t="n">
        <v>339.7</v>
      </c>
      <c r="C73" s="15" t="n">
        <v>9.699999999999999</v>
      </c>
      <c r="D73" s="15" t="n">
        <v>320.3</v>
      </c>
      <c r="E73" s="15" t="n">
        <v>365.1</v>
      </c>
    </row>
    <row r="74">
      <c r="A74" s="15" t="n">
        <v>340</v>
      </c>
      <c r="B74" s="15" t="n">
        <v>339.7</v>
      </c>
      <c r="C74" s="15" t="n">
        <v>10.9</v>
      </c>
      <c r="D74" s="15" t="n">
        <v>317.9</v>
      </c>
      <c r="E74" s="15" t="n">
        <v>365.1</v>
      </c>
    </row>
    <row r="75">
      <c r="A75" s="15" t="n">
        <v>340</v>
      </c>
      <c r="B75" s="15" t="n">
        <v>339.7</v>
      </c>
      <c r="C75" s="15" t="n">
        <v>12.2</v>
      </c>
      <c r="D75" s="15" t="n">
        <v>315.3</v>
      </c>
      <c r="E75" s="15" t="n">
        <v>365.1</v>
      </c>
    </row>
    <row r="76">
      <c r="A76" s="15" t="n">
        <v>340</v>
      </c>
      <c r="B76" s="15" t="n">
        <v>339.7</v>
      </c>
      <c r="C76" s="15" t="n">
        <v>13.1</v>
      </c>
      <c r="D76" s="15" t="n">
        <v>313.5</v>
      </c>
      <c r="E76" s="15" t="n">
        <v>365.1</v>
      </c>
    </row>
    <row r="77">
      <c r="A77" s="15" t="n">
        <v>340</v>
      </c>
      <c r="B77" s="15" t="n">
        <v>339.7</v>
      </c>
      <c r="C77" s="15" t="n">
        <v>14</v>
      </c>
      <c r="D77" s="15" t="n">
        <v>311.7</v>
      </c>
      <c r="E77" s="15" t="n">
        <v>365.1</v>
      </c>
    </row>
    <row r="78">
      <c r="A78" s="15" t="n">
        <v>340</v>
      </c>
      <c r="B78" s="15" t="n">
        <v>339.7</v>
      </c>
      <c r="C78" s="15" t="n">
        <v>15.4</v>
      </c>
      <c r="D78" s="15" t="n">
        <v>308.9</v>
      </c>
      <c r="E78" s="15" t="n">
        <v>365.1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2026-10-09T22:48:38Z</dcterms:created>
  <dcterms:modified xmlns:dcterms="http://purl.org/dc/terms/" xmlns:xsi="http://www.w3.org/2001/XMLSchema-instance" xsi:type="dcterms:W3CDTF">2026-10-09T22:48:38Z</dcterms:modified>
</cp:coreProperties>
</file>