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'Лист1'!$A$1:$M$39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12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i val="1"/>
      <sz val="12"/>
    </font>
    <font>
      <name val="Arial"/>
      <sz val="12"/>
    </font>
    <font>
      <name val="Arial"/>
      <sz val="8"/>
    </font>
    <font>
      <name val="Arial"/>
      <b val="1"/>
      <i val="1"/>
      <sz val="10"/>
    </font>
    <font>
      <name val="Arial"/>
      <b val="1"/>
      <i val="1"/>
      <sz val="8"/>
    </font>
    <font>
      <name val="Arial"/>
      <sz val="9"/>
    </font>
    <font>
      <name val="Times New Roman"/>
      <sz val="10"/>
    </font>
    <font>
      <name val="Times New Roman"/>
      <sz val="12"/>
    </font>
    <font>
      <name val="Times New Roman"/>
      <sz val="11"/>
    </font>
    <font>
      <name val="Arial"/>
      <sz val="7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medium"/>
    </border>
    <border diagonalDown="1">
      <left style="thin"/>
      <right style="thin"/>
      <top style="medium"/>
      <bottom style="medium"/>
      <diagonal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165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65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2" customWidth="1" min="4" max="4"/>
    <col width="12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9" customWidth="1" min="13" max="13"/>
  </cols>
  <sheetData>
    <row r="1">
      <c r="A1" s="1" t="n">
        <v>46321</v>
      </c>
    </row>
    <row r="2" ht="18" customHeight="1">
      <c r="B2" s="2" t="inlineStr">
        <is>
          <t>Расчет бурильной колонны на прочность по секциям ( для вертикальной скважины )</t>
        </is>
      </c>
    </row>
    <row r="4" ht="18" customHeight="1">
      <c r="A4" s="3" t="inlineStr">
        <is>
          <t>Фамилия</t>
        </is>
      </c>
      <c r="B4" s="4" t="inlineStr">
        <is>
          <t>..............................</t>
        </is>
      </c>
      <c r="E4" s="5" t="inlineStr">
        <is>
          <t>Группа</t>
        </is>
      </c>
      <c r="G4" s="3" t="inlineStr">
        <is>
          <t>РТ-23-12</t>
        </is>
      </c>
    </row>
    <row r="6" ht="18" customHeight="1">
      <c r="A6" s="3" t="inlineStr">
        <is>
          <t>Вариант</t>
        </is>
      </c>
      <c r="B6" s="3" t="n">
        <v>7</v>
      </c>
    </row>
    <row r="8">
      <c r="A8" s="6" t="inlineStr">
        <is>
          <t>Исходные данные</t>
        </is>
      </c>
      <c r="B8" s="7" t="n"/>
      <c r="C8" s="7" t="n"/>
      <c r="D8" s="7" t="n"/>
      <c r="E8" s="7" t="n"/>
      <c r="G8" s="6" t="inlineStr">
        <is>
          <t>Исходные данные</t>
        </is>
      </c>
      <c r="H8" s="7" t="n"/>
      <c r="I8" s="7" t="n"/>
      <c r="J8" s="7" t="n"/>
      <c r="K8" s="7" t="n"/>
    </row>
    <row r="9" ht="30" customHeight="1">
      <c r="A9" s="6" t="inlineStr">
        <is>
          <t>№ п/п</t>
        </is>
      </c>
      <c r="B9" s="6" t="inlineStr">
        <is>
          <t>Название</t>
        </is>
      </c>
      <c r="C9" s="7" t="n"/>
      <c r="D9" s="7" t="n"/>
      <c r="E9" s="8" t="inlineStr">
        <is>
          <t>Индивид. задание</t>
        </is>
      </c>
      <c r="G9" s="6" t="inlineStr">
        <is>
          <t>№ п/п</t>
        </is>
      </c>
      <c r="H9" s="6" t="inlineStr">
        <is>
          <t>Название</t>
        </is>
      </c>
      <c r="I9" s="7" t="n"/>
      <c r="J9" s="7" t="n"/>
      <c r="K9" s="8" t="inlineStr">
        <is>
          <t>Индивид. задание</t>
        </is>
      </c>
    </row>
    <row r="10" ht="30" customHeight="1">
      <c r="A10" s="6" t="n">
        <v>1</v>
      </c>
      <c r="B10" s="6" t="inlineStr">
        <is>
          <t>Способ
бурения</t>
        </is>
      </c>
      <c r="C10" s="7" t="n"/>
      <c r="D10" s="7" t="n"/>
      <c r="E10" s="9" t="inlineStr">
        <is>
          <t>турбинный</t>
        </is>
      </c>
      <c r="G10" s="6" t="n">
        <v>7</v>
      </c>
      <c r="H10" s="6" t="inlineStr">
        <is>
          <t>Плотность материала
БТ, кг/м3</t>
        </is>
      </c>
      <c r="I10" s="7" t="n"/>
      <c r="J10" s="7" t="n"/>
      <c r="K10" s="9" t="n">
        <v>7850</v>
      </c>
    </row>
    <row r="11" ht="30" customHeight="1">
      <c r="A11" s="6" t="n">
        <v>2</v>
      </c>
      <c r="B11" s="6" t="inlineStr">
        <is>
          <t>Условия бурения</t>
        </is>
      </c>
      <c r="C11" s="7" t="n"/>
      <c r="D11" s="7" t="n"/>
      <c r="E11" s="9" t="inlineStr">
        <is>
          <t>нормальные</t>
        </is>
      </c>
      <c r="G11" s="6" t="n">
        <v>8</v>
      </c>
      <c r="H11" s="6" t="inlineStr">
        <is>
          <t>Плотность промывоч-
ной жидкости,  кг/м3</t>
        </is>
      </c>
      <c r="I11" s="7" t="n"/>
      <c r="J11" s="7" t="n"/>
      <c r="K11" s="9" t="n">
        <v>1200</v>
      </c>
    </row>
    <row r="12" ht="30" customHeight="1">
      <c r="A12" s="6" t="n">
        <v>3</v>
      </c>
      <c r="B12" s="6" t="inlineStr">
        <is>
          <t>Глубина разбурива-
емого интервала, м</t>
        </is>
      </c>
      <c r="C12" s="7" t="n"/>
      <c r="D12" s="7" t="n"/>
      <c r="E12" s="9" t="n">
        <v>2750</v>
      </c>
      <c r="G12" s="6" t="n">
        <v>9</v>
      </c>
      <c r="H12" s="6" t="inlineStr">
        <is>
          <t>Общая длина
КНБК, м</t>
        </is>
      </c>
      <c r="I12" s="7" t="n"/>
      <c r="J12" s="7" t="n"/>
      <c r="K12" s="10" t="n">
        <v>148.6</v>
      </c>
    </row>
    <row r="13" ht="30" customHeight="1">
      <c r="A13" s="6" t="n">
        <v>4</v>
      </c>
      <c r="B13" s="6" t="inlineStr">
        <is>
          <t>Диаметр
долота,  м</t>
        </is>
      </c>
      <c r="C13" s="7" t="n"/>
      <c r="D13" s="7" t="n"/>
      <c r="E13" s="9" t="n">
        <v>0.2159</v>
      </c>
      <c r="G13" s="6" t="n">
        <v>10</v>
      </c>
      <c r="H13" s="6" t="inlineStr">
        <is>
          <t>Общий вес
КНБК,  кН</t>
        </is>
      </c>
      <c r="I13" s="7" t="n"/>
      <c r="J13" s="7" t="n"/>
      <c r="K13" s="11" t="n">
        <v>165.54</v>
      </c>
    </row>
    <row r="14" ht="30" customHeight="1">
      <c r="A14" s="6" t="n">
        <v>5</v>
      </c>
      <c r="B14" s="6" t="inlineStr">
        <is>
          <t>Диаметр бурильных труб,
м</t>
        </is>
      </c>
      <c r="C14" s="7" t="n"/>
      <c r="D14" s="7" t="n"/>
      <c r="E14" s="9" t="n">
        <v>0.127</v>
      </c>
      <c r="G14" s="6" t="n">
        <v>11</v>
      </c>
      <c r="H14" s="6" t="inlineStr">
        <is>
          <t>Перепад давления
в долоте, МПа</t>
        </is>
      </c>
      <c r="I14" s="7" t="n"/>
      <c r="J14" s="7" t="n"/>
      <c r="K14" s="9" t="n">
        <v>4</v>
      </c>
    </row>
    <row r="15" ht="30" customHeight="1">
      <c r="A15" s="6" t="n">
        <v>6</v>
      </c>
      <c r="B15" s="6" t="inlineStr">
        <is>
          <t>Длина наддолотного
комплекта, м</t>
        </is>
      </c>
      <c r="C15" s="7" t="n"/>
      <c r="D15" s="7" t="n"/>
      <c r="E15" s="12" t="n">
        <v>400</v>
      </c>
      <c r="G15" s="6" t="n">
        <v>12</v>
      </c>
      <c r="H15" s="6" t="inlineStr">
        <is>
          <t>Тип забойного
двигателя</t>
        </is>
      </c>
      <c r="I15" s="7" t="n"/>
      <c r="J15" s="7" t="n"/>
      <c r="K15" s="9" t="inlineStr">
        <is>
          <t>ЗТСШ-195</t>
        </is>
      </c>
    </row>
    <row r="16" ht="45" customHeight="1">
      <c r="A16" s="13" t="inlineStr">
        <is>
          <t>Кзап = 1,4</t>
        </is>
      </c>
      <c r="G16" s="6" t="n">
        <v>13</v>
      </c>
      <c r="H16" s="6" t="inlineStr">
        <is>
          <t>Перепад давления в
забойном двигателе,
Мпа</t>
        </is>
      </c>
      <c r="I16" s="7" t="n"/>
      <c r="J16" s="7" t="n"/>
      <c r="K16" s="10" t="n">
        <v>6</v>
      </c>
    </row>
    <row r="23">
      <c r="A23" s="14">
        <f>A1</f>
        <v/>
      </c>
      <c r="E23" s="15" t="inlineStr">
        <is>
          <t>Результаты расчета</t>
        </is>
      </c>
    </row>
    <row r="24">
      <c r="A24" s="16" t="inlineStr">
        <is>
          <t>Фамилия</t>
        </is>
      </c>
      <c r="B24" s="17" t="inlineStr">
        <is>
          <t>......................</t>
        </is>
      </c>
      <c r="D24" s="17" t="inlineStr">
        <is>
          <t>Вариант</t>
        </is>
      </c>
      <c r="E24" s="17">
        <f>B6</f>
        <v/>
      </c>
    </row>
    <row r="27" ht="30" customHeight="1">
      <c r="A27" s="18" t="inlineStr">
        <is>
          <t>секция
показатели</t>
        </is>
      </c>
      <c r="B27" s="19" t="inlineStr">
        <is>
          <t>НК</t>
        </is>
      </c>
      <c r="C27" s="19" t="n">
        <v>1</v>
      </c>
      <c r="D27" s="19" t="n">
        <v>2</v>
      </c>
      <c r="E27" s="19" t="n">
        <v>3</v>
      </c>
      <c r="F27" s="19" t="n">
        <v>4</v>
      </c>
      <c r="G27" s="19" t="n">
        <v>5</v>
      </c>
      <c r="H27" s="19" t="n">
        <v>6</v>
      </c>
      <c r="I27" s="19" t="n">
        <v>7</v>
      </c>
      <c r="J27" s="19" t="n">
        <v>8</v>
      </c>
      <c r="K27" s="19" t="n">
        <v>9</v>
      </c>
      <c r="L27" s="19" t="n">
        <v>10</v>
      </c>
    </row>
    <row r="28" ht="13" customHeight="1">
      <c r="A28" s="20" t="inlineStr">
        <is>
          <t>Тип труб</t>
        </is>
      </c>
      <c r="B28" s="20" t="inlineStr">
        <is>
          <t>ТБВК</t>
        </is>
      </c>
      <c r="C28" s="20" t="inlineStr">
        <is>
          <t>ТБВК</t>
        </is>
      </c>
      <c r="D28" s="20" t="inlineStr">
        <is>
          <t>ТБВК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4" customHeight="1">
      <c r="A29" s="20" t="inlineStr">
        <is>
          <t>Толщина стенок,
м</t>
        </is>
      </c>
      <c r="B29" s="20" t="n">
        <v>0.01</v>
      </c>
      <c r="C29" s="20" t="n">
        <v>0.008999999999999999</v>
      </c>
      <c r="D29" s="20" t="n">
        <v>0.008999999999999999</v>
      </c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33" customHeight="1">
      <c r="A30" s="20" t="inlineStr">
        <is>
          <t>Группа прочности
стали</t>
        </is>
      </c>
      <c r="B30" s="20" t="inlineStr">
        <is>
          <t>д</t>
        </is>
      </c>
      <c r="C30" s="20" t="inlineStr">
        <is>
          <t>к</t>
        </is>
      </c>
      <c r="D30" s="20" t="inlineStr">
        <is>
          <t>е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5" customHeight="1">
      <c r="A31" s="20" t="inlineStr">
        <is>
          <t>Предельно
растягивающая
нагрузка, 10⁴ Н</t>
        </is>
      </c>
      <c r="B31" s="20" t="inlineStr">
        <is>
          <t>-</t>
        </is>
      </c>
      <c r="C31" s="20" t="n">
        <v>167</v>
      </c>
      <c r="D31" s="20" t="n">
        <v>184</v>
      </c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24" customHeight="1">
      <c r="A32" s="20" t="inlineStr">
        <is>
          <t>Масса 1 м трубы,
кг</t>
        </is>
      </c>
      <c r="B32" s="21" t="n">
        <v>32</v>
      </c>
      <c r="C32" s="21" t="n">
        <v>29.3</v>
      </c>
      <c r="D32" s="21" t="n">
        <v>29.3</v>
      </c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5" customHeight="1">
      <c r="A33" s="20" t="inlineStr">
        <is>
          <t>Площадь попереч.
сечения канала
труб, м²</t>
        </is>
      </c>
      <c r="B33" s="21" t="inlineStr">
        <is>
          <t>-</t>
        </is>
      </c>
      <c r="C33" s="21" t="n">
        <v>93.3</v>
      </c>
      <c r="D33" s="21" t="inlineStr">
        <is>
          <t>-</t>
        </is>
      </c>
      <c r="E33" s="20" t="inlineStr">
        <is>
          <t>-</t>
        </is>
      </c>
      <c r="F33" s="20" t="inlineStr">
        <is>
          <t>-</t>
        </is>
      </c>
      <c r="G33" s="20" t="inlineStr">
        <is>
          <t>-</t>
        </is>
      </c>
      <c r="H33" s="20" t="inlineStr">
        <is>
          <t>-</t>
        </is>
      </c>
      <c r="I33" s="20" t="inlineStr">
        <is>
          <t>-</t>
        </is>
      </c>
      <c r="J33" s="20" t="inlineStr">
        <is>
          <t>-</t>
        </is>
      </c>
      <c r="K33" s="20" t="inlineStr">
        <is>
          <t>-</t>
        </is>
      </c>
      <c r="L33" s="20" t="inlineStr">
        <is>
          <t>-</t>
        </is>
      </c>
    </row>
    <row r="34" ht="24" customHeight="1">
      <c r="A34" s="20" t="inlineStr">
        <is>
          <t>Длина секции, м</t>
        </is>
      </c>
      <c r="B34" s="22">
        <f>E15</f>
        <v/>
      </c>
      <c r="C34" s="23">
        <f>(0.8*C31*10^4/1.4-1.1*($K$13+B36)*1000-($K$16+$K$14)*10^6*C33*10^-4)/(1.1*9.81*C32*(1-$K$11/$K$10))</f>
        <v/>
      </c>
      <c r="D34" s="23">
        <f>(0.8*D31*10^4/1.4-0.8*C31*10^4/1.4)/(1.1*9.81*D32*(1-$K$11/$K$10))</f>
        <v/>
      </c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33" customHeight="1">
      <c r="A35" s="20" t="inlineStr">
        <is>
          <t>Уточненная длина
секции, м</t>
        </is>
      </c>
      <c r="B35" s="23">
        <f>B34</f>
        <v/>
      </c>
      <c r="C35" s="23">
        <f>IF(B37+C34&gt;$E$12,$E$12-B37,IF(C34&lt;250,"выберите трубы с большей прочностью",FLOOR(C34,25)))</f>
        <v/>
      </c>
      <c r="D35" s="23">
        <f>IF(C37+D34&gt;$E$12,$E$12-C37,IF(D34&lt;250,"выберите трубы с большей прочностью",FLOOR(D34,25)))</f>
        <v/>
      </c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3" customHeight="1">
      <c r="A36" s="20" t="inlineStr">
        <is>
          <t>Вес, кН</t>
        </is>
      </c>
      <c r="B36" s="23">
        <f>9.81*B35*B32*(1-$K$11/$K$10)/1000</f>
        <v/>
      </c>
      <c r="C36" s="23">
        <f>9.81*C35*C32*(1-$K$11/$K$10)/1000</f>
        <v/>
      </c>
      <c r="D36" s="23">
        <f>9.81*D35*D32*(1-$K$11/$K$10)/1000</f>
        <v/>
      </c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33" customHeight="1">
      <c r="A37" s="20" t="inlineStr">
        <is>
          <t>Нарастающая
длина
по секциям, м</t>
        </is>
      </c>
      <c r="B37" s="23">
        <f>K12+B35</f>
        <v/>
      </c>
      <c r="C37" s="23">
        <f>B37+C35</f>
        <v/>
      </c>
      <c r="D37" s="23">
        <f>C37+D35</f>
        <v/>
      </c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24" customHeight="1">
      <c r="A38" s="20" t="inlineStr">
        <is>
          <t>Общий вес
колонны, кН</t>
        </is>
      </c>
      <c r="B38" s="23">
        <f>K13+B36</f>
        <v/>
      </c>
      <c r="C38" s="23">
        <f>B38+C36</f>
        <v/>
      </c>
      <c r="D38" s="23">
        <f>C38+D36</f>
        <v/>
      </c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35" customHeight="1">
      <c r="A39" s="20" t="inlineStr">
        <is>
          <t>Длина
инструмента
в целом, м</t>
        </is>
      </c>
      <c r="B39" s="23">
        <f>D37</f>
        <v/>
      </c>
      <c r="C39" s="20">
        <f>IF(ROUND(B39,2)=E12,"Расчет завершен.","")</f>
        <v/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</sheetData>
  <mergeCells count="21">
    <mergeCell ref="B11:D11"/>
    <mergeCell ref="B14:D14"/>
    <mergeCell ref="C39:L39"/>
    <mergeCell ref="B13:D13"/>
    <mergeCell ref="E23:I23"/>
    <mergeCell ref="H11:J11"/>
    <mergeCell ref="G8:K8"/>
    <mergeCell ref="B10:D10"/>
    <mergeCell ref="H16:J16"/>
    <mergeCell ref="A16:B16"/>
    <mergeCell ref="H13:J13"/>
    <mergeCell ref="B2:L2"/>
    <mergeCell ref="B9:D9"/>
    <mergeCell ref="H12:J12"/>
    <mergeCell ref="B15:D15"/>
    <mergeCell ref="H15:J15"/>
    <mergeCell ref="H14:J14"/>
    <mergeCell ref="A8:E8"/>
    <mergeCell ref="H10:J10"/>
    <mergeCell ref="H9:J9"/>
    <mergeCell ref="B12:D12"/>
  </mergeCells>
  <pageMargins left="0.75" right="0.75" top="1" bottom="1" header="0.5" footer="0.5"/>
  <pageSetup orientation="landscape" paperSize="9" fitToHeight="0" fitToWidth="1"/>
  <rowBreaks count="1" manualBreakCount="1">
    <brk id="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2026-10-26T11:25:02Z</dcterms:created>
  <dcterms:modified xmlns:dcterms="http://purl.org/dc/terms/" xmlns:xsi="http://www.w3.org/2001/XMLSchema-instance" xsi:type="dcterms:W3CDTF">2026-10-26T11:25:02Z</dcterms:modified>
</cp:coreProperties>
</file>