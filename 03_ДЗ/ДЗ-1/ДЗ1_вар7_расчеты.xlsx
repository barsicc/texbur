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Исходные данные" sheetId="1" state="visible" r:id="rId1"/>
    <sheet xmlns:r="http://schemas.openxmlformats.org/officeDocument/2006/relationships" name="2_Индексы давлений" sheetId="2" state="visible" r:id="rId2"/>
    <sheet xmlns:r="http://schemas.openxmlformats.org/officeDocument/2006/relationships" name="3_Колонны" sheetId="3" state="visible" r:id="rId3"/>
    <sheet xmlns:r="http://schemas.openxmlformats.org/officeDocument/2006/relationships" name="4_Диаметры (РФ)" sheetId="4" state="visible" r:id="rId4"/>
    <sheet xmlns:r="http://schemas.openxmlformats.org/officeDocument/2006/relationships" name="5_Зарубежная методика" sheetId="5" state="visible" r:id="rId5"/>
    <sheet xmlns:r="http://schemas.openxmlformats.org/officeDocument/2006/relationships" name="ГОСТ 632-80 (ОТТМ)" sheetId="6" state="visible" r:id="rId6"/>
    <sheet xmlns:r="http://schemas.openxmlformats.org/officeDocument/2006/relationships" name="ГОСТ 20692-2003 (долота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</font>
    <font>
      <i val="1"/>
      <sz val="9"/>
    </font>
    <font>
      <i val="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1" fontId="0" fillId="4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2" fontId="0" fillId="4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165" fontId="2" fillId="4" borderId="1" applyAlignment="1" pivotButton="0" quotePrefix="0" xfId="0">
      <alignment horizontal="center" vertical="center" wrapText="1"/>
    </xf>
    <xf numFmtId="165" fontId="0" fillId="3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165" fontId="0" fillId="4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Совмещённый график давлений</a:t>
            </a:r>
          </a:p>
        </rich>
      </tx>
    </title>
    <plotArea>
      <scatterChart>
        <ser>
          <idx val="0"/>
          <order val="0"/>
          <tx>
            <v>KF</v>
          </tx>
          <spPr>
            <a:ln xmlns:a="http://schemas.openxmlformats.org/drawingml/2006/main" w="28575">
              <a:solidFill>
                <a:srgbClr val="0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'2_Индексы давлений'!$N$5:$N$12</f>
            </numRef>
          </xVal>
          <yVal>
            <numRef>
              <f>'2_Индексы давлений'!$O$5:$O$12</f>
            </numRef>
          </yVal>
          <smooth val="0"/>
        </ser>
        <ser>
          <idx val="1"/>
          <order val="1"/>
          <tx>
            <v>KFR</v>
          </tx>
          <spPr>
            <a:ln xmlns:a="http://schemas.openxmlformats.org/drawingml/2006/main" w="28575">
              <a:solidFill>
                <a:srgbClr val="7F7F7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'2_Индексы давлений'!$P$5:$P$12</f>
            </numRef>
          </xVal>
          <yVal>
            <numRef>
              <f>'2_Индексы давлений'!$Q$5:$Q$12</f>
            </numRef>
          </yVal>
          <smooth val="0"/>
        </ser>
        <ser>
          <idx val="2"/>
          <order val="2"/>
          <tx>
            <v>ρR</v>
          </tx>
          <spPr>
            <a:ln xmlns:a="http://schemas.openxmlformats.org/drawingml/2006/main" w="19050">
              <a:solidFill>
                <a:srgbClr val="1F4E79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'2_Индексы давлений'!$R$5:$R$14</f>
            </numRef>
          </xVal>
          <yVal>
            <numRef>
              <f>'2_Индексы давлений'!$S$5:$S$14</f>
            </numRef>
          </yVal>
          <smooth val="0"/>
        </ser>
        <ser>
          <idx val="3"/>
          <order val="3"/>
          <tx>
            <v>ρR принятая</v>
          </tx>
          <spPr>
            <a:ln xmlns:a="http://schemas.openxmlformats.org/drawingml/2006/main" w="12700">
              <a:solidFill>
                <a:srgbClr val="C00000"/>
              </a:solidFill>
              <a:prstDash val="dash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'2_Индексы давлений'!$T$5:$T$10</f>
            </numRef>
          </xVal>
          <yVal>
            <numRef>
              <f>'2_Индексы давлений'!$U$5:$U$10</f>
            </numRef>
          </yVal>
          <smooth val="0"/>
        </ser>
        <axId val="10"/>
        <axId val="20"/>
      </scatterChart>
      <valAx>
        <axId val="10"/>
        <scaling>
          <orientation val="minMax"/>
          <max val="1.7"/>
          <min val="0.8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KF; KFR; ρR</a:t>
                </a:r>
              </a:p>
            </rich>
          </tx>
        </title>
        <numFmt formatCode="0.0" sourceLinked="0"/>
        <majorTickMark val="none"/>
        <minorTickMark val="none"/>
        <crossAx val="20"/>
        <majorUnit val="0.1"/>
      </valAx>
      <valAx>
        <axId val="20"/>
        <scaling>
          <orientation val="maxMin"/>
          <max val="2200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Глубина z, м</a:t>
                </a:r>
              </a:p>
            </rich>
          </tx>
        </title>
        <numFmt formatCode="0" sourceLinked="0"/>
        <majorTickMark val="none"/>
        <minorTickMark val="none"/>
        <crossAx val="10"/>
        <majorUnit val="20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13</col>
      <colOff>0</colOff>
      <row>23</row>
      <rowOff>0</rowOff>
    </from>
    <ext cx="648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J15"/>
  <sheetViews>
    <sheetView zoomScale="10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8" customWidth="1" min="4" max="4"/>
    <col width="14" customWidth="1" min="5" max="5"/>
    <col width="14" customWidth="1" min="6" max="6"/>
    <col width="4" customWidth="1" min="7" max="7"/>
    <col width="40" customWidth="1" min="8" max="8"/>
    <col width="12" customWidth="1" min="9" max="9"/>
    <col width="12" customWidth="1" min="10" max="10"/>
  </cols>
  <sheetData>
    <row r="1">
      <c r="B1" s="1" t="inlineStr">
        <is>
          <t>ДЗ-1. Проектирование конструкции скважины. Вариант 7</t>
        </is>
      </c>
    </row>
    <row r="3">
      <c r="B3" s="2" t="inlineStr">
        <is>
          <t>Интервал залегания, м</t>
        </is>
      </c>
      <c r="C3" s="2" t="n"/>
      <c r="D3" s="2" t="inlineStr">
        <is>
          <t>Порода</t>
        </is>
      </c>
      <c r="E3" s="2" t="inlineStr">
        <is>
          <t>Давление, МПа</t>
        </is>
      </c>
      <c r="F3" s="2" t="n"/>
      <c r="H3" s="2" t="inlineStr">
        <is>
          <t>Параметр</t>
        </is>
      </c>
      <c r="I3" s="2" t="inlineStr">
        <is>
          <t>Значение</t>
        </is>
      </c>
      <c r="J3" s="2" t="inlineStr">
        <is>
          <t>Источник</t>
        </is>
      </c>
    </row>
    <row r="4">
      <c r="B4" s="2" t="inlineStr">
        <is>
          <t>кровля</t>
        </is>
      </c>
      <c r="C4" s="2" t="inlineStr">
        <is>
          <t>подошва</t>
        </is>
      </c>
      <c r="D4" s="2" t="n"/>
      <c r="E4" s="2" t="inlineStr">
        <is>
          <t>пластовое Pпл</t>
        </is>
      </c>
      <c r="F4" s="2" t="inlineStr">
        <is>
          <t>поглощения Pпогл</t>
        </is>
      </c>
      <c r="H4" s="3" t="inlineStr">
        <is>
          <t>Назначение скважины</t>
        </is>
      </c>
      <c r="I4" s="4" t="inlineStr">
        <is>
          <t>газовая</t>
        </is>
      </c>
      <c r="J4" s="3" t="inlineStr"/>
    </row>
    <row r="5">
      <c r="B5" s="4" t="n">
        <v>0</v>
      </c>
      <c r="C5" s="4" t="n">
        <v>800</v>
      </c>
      <c r="D5" s="4" t="inlineStr">
        <is>
          <t>алевролит</t>
        </is>
      </c>
      <c r="E5" s="4" t="n">
        <v>8</v>
      </c>
      <c r="F5" s="4" t="n">
        <v>9.6</v>
      </c>
      <c r="H5" s="3" t="inlineStr">
        <is>
          <t>Глубина скважины H, м</t>
        </is>
      </c>
      <c r="I5" s="4" t="n">
        <v>2100</v>
      </c>
      <c r="J5" s="3" t="inlineStr"/>
    </row>
    <row r="6">
      <c r="B6" s="4" t="n">
        <v>800</v>
      </c>
      <c r="C6" s="4" t="n">
        <v>1000</v>
      </c>
      <c r="D6" s="4" t="inlineStr">
        <is>
          <t>глина голубая</t>
        </is>
      </c>
      <c r="E6" s="4" t="n">
        <v>8.800000000000001</v>
      </c>
      <c r="F6" s="4" t="n">
        <v>12.5</v>
      </c>
      <c r="H6" s="3" t="inlineStr">
        <is>
          <t>Диаметр эксплуатационной колонны, мм</t>
        </is>
      </c>
      <c r="I6" s="4" t="n">
        <v>114.3</v>
      </c>
      <c r="J6" s="3" t="inlineStr"/>
    </row>
    <row r="7">
      <c r="B7" s="4" t="n">
        <v>1000</v>
      </c>
      <c r="C7" s="4" t="n">
        <v>1900</v>
      </c>
      <c r="D7" s="4" t="inlineStr">
        <is>
          <t>песчаник</t>
        </is>
      </c>
      <c r="E7" s="4" t="n">
        <v>23.8</v>
      </c>
      <c r="F7" s="4" t="n">
        <v>28.5</v>
      </c>
      <c r="H7" s="3" t="inlineStr">
        <is>
          <t>Неустойчивые породы до глубины, м</t>
        </is>
      </c>
      <c r="I7" s="4" t="n">
        <v>250</v>
      </c>
      <c r="J7" s="3" t="inlineStr"/>
    </row>
    <row r="8">
      <c r="B8" s="4" t="n">
        <v>1900</v>
      </c>
      <c r="C8" s="4" t="n">
        <v>2100</v>
      </c>
      <c r="D8" s="4" t="inlineStr">
        <is>
          <t>известняк</t>
        </is>
      </c>
      <c r="E8" s="4" t="n">
        <v>27.3</v>
      </c>
      <c r="F8" s="4" t="n">
        <v>30.5</v>
      </c>
      <c r="H8" s="3" t="inlineStr">
        <is>
          <t>Ускорение свободного падения g, м/с²</t>
        </is>
      </c>
      <c r="I8" s="4" t="n">
        <v>9.81</v>
      </c>
      <c r="J8" s="3" t="inlineStr"/>
    </row>
    <row r="9">
      <c r="B9" s="5" t="inlineStr">
        <is>
          <t>Давления отнесены к подошве интервала залегания.</t>
        </is>
      </c>
      <c r="H9" s="3" t="inlineStr">
        <is>
          <t>Плотность воды ρw, кг/м³</t>
        </is>
      </c>
      <c r="I9" s="4" t="n">
        <v>1000</v>
      </c>
      <c r="J9" s="3" t="inlineStr"/>
    </row>
    <row r="10">
      <c r="H10" s="3" t="inlineStr">
        <is>
          <t>Ks при z &lt; 1200 м</t>
        </is>
      </c>
      <c r="I10" s="4" t="n">
        <v>1.1</v>
      </c>
      <c r="J10" s="3" t="inlineStr">
        <is>
          <t>ПБ п. 2.7.3.3</t>
        </is>
      </c>
    </row>
    <row r="11">
      <c r="H11" s="3" t="inlineStr">
        <is>
          <t>Ks при z &gt; 1200 м</t>
        </is>
      </c>
      <c r="I11" s="4" t="n">
        <v>1.05</v>
      </c>
      <c r="J11" s="3" t="inlineStr">
        <is>
          <t>ПБ п. 2.7.3.3</t>
        </is>
      </c>
    </row>
    <row r="12">
      <c r="H12" s="3" t="inlineStr">
        <is>
          <t>Граница для Ks, м</t>
        </is>
      </c>
      <c r="I12" s="4" t="n">
        <v>1200</v>
      </c>
      <c r="J12" s="3" t="inlineStr"/>
    </row>
    <row r="13">
      <c r="H13" s="3" t="inlineStr">
        <is>
          <t>Подъём цемента над башмаком пред. ОК (газ), м</t>
        </is>
      </c>
      <c r="I13" s="4" t="n">
        <v>500</v>
      </c>
      <c r="J13" s="3" t="inlineStr">
        <is>
          <t>ПБ п. 2.7.4.11</t>
        </is>
      </c>
    </row>
    <row r="14">
      <c r="H14" s="3" t="inlineStr">
        <is>
          <t>Зазор δ (долото – внутр. стенка ОК), мм</t>
        </is>
      </c>
      <c r="I14" s="4" t="n">
        <v>5</v>
      </c>
      <c r="J14" s="3" t="inlineStr">
        <is>
          <t>δ = 5–10 мм</t>
        </is>
      </c>
    </row>
    <row r="15">
      <c r="H15" s="3" t="inlineStr">
        <is>
          <t>Допустимая репрессия (скв. глубже 1200 м), МПа</t>
        </is>
      </c>
      <c r="I15" s="4" t="n">
        <v>2.5</v>
      </c>
      <c r="J15" s="3" t="inlineStr">
        <is>
          <t>ПБ п. 2.7.3.3: 2,5–3,0</t>
        </is>
      </c>
    </row>
  </sheetData>
  <mergeCells count="3">
    <mergeCell ref="D3:D4"/>
    <mergeCell ref="B3:C3"/>
    <mergeCell ref="E3:F3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1:U32"/>
  <sheetViews>
    <sheetView zoomScale="10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10" customWidth="1" min="3" max="3"/>
    <col width="26" customWidth="1" min="4" max="4"/>
    <col width="13" customWidth="1" min="5" max="5"/>
    <col width="11" customWidth="1" min="6" max="6"/>
    <col width="11" customWidth="1" min="7" max="7"/>
    <col width="11" customWidth="1" min="8" max="8"/>
    <col width="10" customWidth="1" min="9" max="9"/>
    <col width="12" customWidth="1" min="10" max="10"/>
    <col width="13" customWidth="1" min="11" max="11"/>
    <col width="18" customWidth="1" min="12" max="12"/>
  </cols>
  <sheetData>
    <row r="1">
      <c r="B1" s="1" t="inlineStr">
        <is>
          <t>Расчёт индексов давлений и относительной плотности бурового раствора</t>
        </is>
      </c>
    </row>
    <row r="2">
      <c r="B2" s="6" t="inlineStr">
        <is>
          <t>KF = Pпл/(ρw·g·z);  KFR = Pпогл/(ρw·g·z);  ρR = Ks·KF;  условие: KF &lt; ρR &lt; KFR</t>
        </is>
      </c>
    </row>
    <row r="3">
      <c r="N3" s="7" t="inlineStr">
        <is>
          <t>Данные для графика совмещённых давлений</t>
        </is>
      </c>
    </row>
    <row r="4" ht="36" customHeight="1">
      <c r="B4" s="2" t="inlineStr">
        <is>
          <t>кровля, м</t>
        </is>
      </c>
      <c r="C4" s="2" t="inlineStr">
        <is>
          <t>подошва, м</t>
        </is>
      </c>
      <c r="D4" s="2" t="inlineStr">
        <is>
          <t>порода</t>
        </is>
      </c>
      <c r="E4" s="2" t="inlineStr">
        <is>
          <t>Pпл, МПа</t>
        </is>
      </c>
      <c r="F4" s="2" t="inlineStr">
        <is>
          <t>Pпогл, МПа</t>
        </is>
      </c>
      <c r="G4" s="2" t="inlineStr">
        <is>
          <t>KF</t>
        </is>
      </c>
      <c r="H4" s="2" t="inlineStr">
        <is>
          <t>KFR</t>
        </is>
      </c>
      <c r="I4" s="2" t="inlineStr">
        <is>
          <t>Ks</t>
        </is>
      </c>
      <c r="J4" s="2" t="inlineStr">
        <is>
          <t>ρR</t>
        </is>
      </c>
      <c r="K4" s="2" t="inlineStr">
        <is>
          <t>ρб.р., кг/м³</t>
        </is>
      </c>
      <c r="L4" s="2" t="inlineStr">
        <is>
          <t>KF&lt;ρR&lt;KFR</t>
        </is>
      </c>
      <c r="N4" s="2" t="inlineStr">
        <is>
          <t>KF</t>
        </is>
      </c>
      <c r="O4" s="2" t="inlineStr">
        <is>
          <t>z</t>
        </is>
      </c>
      <c r="P4" s="2" t="inlineStr">
        <is>
          <t>KFR</t>
        </is>
      </c>
      <c r="Q4" s="2" t="inlineStr">
        <is>
          <t>z</t>
        </is>
      </c>
      <c r="R4" s="2" t="inlineStr">
        <is>
          <t>ρR</t>
        </is>
      </c>
      <c r="S4" s="2" t="inlineStr">
        <is>
          <t>z</t>
        </is>
      </c>
      <c r="T4" s="2" t="inlineStr">
        <is>
          <t>ρR прин.</t>
        </is>
      </c>
      <c r="U4" s="2" t="inlineStr">
        <is>
          <t>z</t>
        </is>
      </c>
    </row>
    <row r="5">
      <c r="B5" s="8" t="n">
        <v>0</v>
      </c>
      <c r="C5" s="8" t="n">
        <v>800</v>
      </c>
      <c r="D5" s="8">
        <f>'1_Исходные данные'!D5</f>
        <v/>
      </c>
      <c r="E5" s="8">
        <f>'1_Исходные данные'!E5</f>
        <v/>
      </c>
      <c r="F5" s="8">
        <f>'1_Исходные данные'!F5</f>
        <v/>
      </c>
      <c r="G5" s="9">
        <f>E5*10^6/('1_Исходные данные'!$I$9*'1_Исходные данные'!$I$8*'1_Исходные данные'!C5)</f>
        <v/>
      </c>
      <c r="H5" s="9">
        <f>F5*10^6/('1_Исходные данные'!$I$9*'1_Исходные данные'!$I$8*'1_Исходные данные'!C5)</f>
        <v/>
      </c>
      <c r="I5" s="9">
        <f>IF(C5&lt;='1_Исходные данные'!$I$12,'1_Исходные данные'!$I$10,'1_Исходные данные'!$I$11)</f>
        <v/>
      </c>
      <c r="J5" s="9">
        <f>I5*G5</f>
        <v/>
      </c>
      <c r="K5" s="10">
        <f>J5*'1_Исходные данные'!$I$9</f>
        <v/>
      </c>
      <c r="L5" s="8">
        <f>IF(AND(G5&lt;J5,J5&lt;H5),"выполняется","НЕ выполняется")</f>
        <v/>
      </c>
      <c r="N5" s="11">
        <f>G5</f>
        <v/>
      </c>
      <c r="O5" s="11">
        <f>B5</f>
        <v/>
      </c>
      <c r="P5" s="11">
        <f>H5</f>
        <v/>
      </c>
      <c r="Q5" s="11">
        <f>B5</f>
        <v/>
      </c>
      <c r="R5" s="11">
        <f>J5</f>
        <v/>
      </c>
      <c r="S5" s="11">
        <f>B5</f>
        <v/>
      </c>
      <c r="T5" s="11">
        <f>E14</f>
        <v/>
      </c>
      <c r="U5" s="11">
        <f>B14</f>
        <v/>
      </c>
    </row>
    <row r="6">
      <c r="B6" s="8" t="n">
        <v>800</v>
      </c>
      <c r="C6" s="8" t="n">
        <v>1000</v>
      </c>
      <c r="D6" s="8">
        <f>'1_Исходные данные'!D6</f>
        <v/>
      </c>
      <c r="E6" s="8">
        <f>'1_Исходные данные'!E6</f>
        <v/>
      </c>
      <c r="F6" s="8">
        <f>'1_Исходные данные'!F6</f>
        <v/>
      </c>
      <c r="G6" s="9">
        <f>E6*10^6/('1_Исходные данные'!$I$9*'1_Исходные данные'!$I$8*'1_Исходные данные'!C6)</f>
        <v/>
      </c>
      <c r="H6" s="9">
        <f>F6*10^6/('1_Исходные данные'!$I$9*'1_Исходные данные'!$I$8*'1_Исходные данные'!C6)</f>
        <v/>
      </c>
      <c r="I6" s="9">
        <f>IF(C6&lt;='1_Исходные данные'!$I$12,'1_Исходные данные'!$I$10,'1_Исходные данные'!$I$11)</f>
        <v/>
      </c>
      <c r="J6" s="9">
        <f>I6*G6</f>
        <v/>
      </c>
      <c r="K6" s="10">
        <f>J6*'1_Исходные данные'!$I$9</f>
        <v/>
      </c>
      <c r="L6" s="8">
        <f>IF(AND(G6&lt;J6,J6&lt;H6),"выполняется","НЕ выполняется")</f>
        <v/>
      </c>
      <c r="N6" s="11">
        <f>G5</f>
        <v/>
      </c>
      <c r="O6" s="11">
        <f>C5</f>
        <v/>
      </c>
      <c r="P6" s="11">
        <f>H5</f>
        <v/>
      </c>
      <c r="Q6" s="11">
        <f>C5</f>
        <v/>
      </c>
      <c r="R6" s="11">
        <f>J5</f>
        <v/>
      </c>
      <c r="S6" s="11">
        <f>C5</f>
        <v/>
      </c>
      <c r="T6" s="11">
        <f>E14</f>
        <v/>
      </c>
      <c r="U6" s="11">
        <f>C14</f>
        <v/>
      </c>
    </row>
    <row r="7">
      <c r="B7" s="8" t="n">
        <v>1000</v>
      </c>
      <c r="C7" s="8" t="n">
        <v>1200</v>
      </c>
      <c r="D7" s="8">
        <f>'1_Исходные данные'!D7</f>
        <v/>
      </c>
      <c r="E7" s="8">
        <f>'1_Исходные данные'!E7</f>
        <v/>
      </c>
      <c r="F7" s="8">
        <f>'1_Исходные данные'!F7</f>
        <v/>
      </c>
      <c r="G7" s="9">
        <f>E7*10^6/('1_Исходные данные'!$I$9*'1_Исходные данные'!$I$8*'1_Исходные данные'!C7)</f>
        <v/>
      </c>
      <c r="H7" s="9">
        <f>F7*10^6/('1_Исходные данные'!$I$9*'1_Исходные данные'!$I$8*'1_Исходные данные'!C7)</f>
        <v/>
      </c>
      <c r="I7" s="9">
        <f>IF(C7&lt;='1_Исходные данные'!$I$12,'1_Исходные данные'!$I$10,'1_Исходные данные'!$I$11)</f>
        <v/>
      </c>
      <c r="J7" s="9">
        <f>I7*G7</f>
        <v/>
      </c>
      <c r="K7" s="10">
        <f>J7*'1_Исходные данные'!$I$9</f>
        <v/>
      </c>
      <c r="L7" s="8">
        <f>IF(AND(G7&lt;J7,J7&lt;H7),"выполняется","НЕ выполняется")</f>
        <v/>
      </c>
      <c r="N7" s="11">
        <f>G6</f>
        <v/>
      </c>
      <c r="O7" s="11">
        <f>B6</f>
        <v/>
      </c>
      <c r="P7" s="11">
        <f>H6</f>
        <v/>
      </c>
      <c r="Q7" s="11">
        <f>B6</f>
        <v/>
      </c>
      <c r="R7" s="11">
        <f>J6</f>
        <v/>
      </c>
      <c r="S7" s="11">
        <f>B6</f>
        <v/>
      </c>
      <c r="T7" s="11">
        <f>E15</f>
        <v/>
      </c>
      <c r="U7" s="11">
        <f>B15</f>
        <v/>
      </c>
    </row>
    <row r="8">
      <c r="B8" s="8" t="n">
        <v>1200</v>
      </c>
      <c r="C8" s="8" t="n">
        <v>1900</v>
      </c>
      <c r="D8" s="8">
        <f>'1_Исходные данные'!D7</f>
        <v/>
      </c>
      <c r="E8" s="8">
        <f>'1_Исходные данные'!E7</f>
        <v/>
      </c>
      <c r="F8" s="8">
        <f>'1_Исходные данные'!F7</f>
        <v/>
      </c>
      <c r="G8" s="9">
        <f>E8*10^6/('1_Исходные данные'!$I$9*'1_Исходные данные'!$I$8*'1_Исходные данные'!C7)</f>
        <v/>
      </c>
      <c r="H8" s="9">
        <f>F8*10^6/('1_Исходные данные'!$I$9*'1_Исходные данные'!$I$8*'1_Исходные данные'!C7)</f>
        <v/>
      </c>
      <c r="I8" s="9">
        <f>IF(C8&lt;='1_Исходные данные'!$I$12,'1_Исходные данные'!$I$10,'1_Исходные данные'!$I$11)</f>
        <v/>
      </c>
      <c r="J8" s="9">
        <f>I8*G8</f>
        <v/>
      </c>
      <c r="K8" s="10">
        <f>J8*'1_Исходные данные'!$I$9</f>
        <v/>
      </c>
      <c r="L8" s="8">
        <f>IF(AND(G8&lt;J8,J8&lt;H8),"выполняется","НЕ выполняется")</f>
        <v/>
      </c>
      <c r="N8" s="11">
        <f>G6</f>
        <v/>
      </c>
      <c r="O8" s="11">
        <f>C6</f>
        <v/>
      </c>
      <c r="P8" s="11">
        <f>H6</f>
        <v/>
      </c>
      <c r="Q8" s="11">
        <f>C6</f>
        <v/>
      </c>
      <c r="R8" s="11">
        <f>J6</f>
        <v/>
      </c>
      <c r="S8" s="11">
        <f>C6</f>
        <v/>
      </c>
      <c r="T8" s="11">
        <f>E15</f>
        <v/>
      </c>
      <c r="U8" s="11">
        <f>C15</f>
        <v/>
      </c>
    </row>
    <row r="9">
      <c r="B9" s="8" t="n">
        <v>1900</v>
      </c>
      <c r="C9" s="8" t="n">
        <v>2100</v>
      </c>
      <c r="D9" s="8">
        <f>'1_Исходные данные'!D8</f>
        <v/>
      </c>
      <c r="E9" s="8">
        <f>'1_Исходные данные'!E8</f>
        <v/>
      </c>
      <c r="F9" s="8">
        <f>'1_Исходные данные'!F8</f>
        <v/>
      </c>
      <c r="G9" s="9">
        <f>E9*10^6/('1_Исходные данные'!$I$9*'1_Исходные данные'!$I$8*'1_Исходные данные'!C8)</f>
        <v/>
      </c>
      <c r="H9" s="9">
        <f>F9*10^6/('1_Исходные данные'!$I$9*'1_Исходные данные'!$I$8*'1_Исходные данные'!C8)</f>
        <v/>
      </c>
      <c r="I9" s="9">
        <f>IF(C9&lt;='1_Исходные данные'!$I$12,'1_Исходные данные'!$I$10,'1_Исходные данные'!$I$11)</f>
        <v/>
      </c>
      <c r="J9" s="9">
        <f>I9*G9</f>
        <v/>
      </c>
      <c r="K9" s="10">
        <f>J9*'1_Исходные данные'!$I$9</f>
        <v/>
      </c>
      <c r="L9" s="8">
        <f>IF(AND(G9&lt;J9,J9&lt;H9),"выполняется","НЕ выполняется")</f>
        <v/>
      </c>
      <c r="N9" s="11">
        <f>G7</f>
        <v/>
      </c>
      <c r="O9" s="11">
        <f>B7</f>
        <v/>
      </c>
      <c r="P9" s="11">
        <f>H7</f>
        <v/>
      </c>
      <c r="Q9" s="11">
        <f>B7</f>
        <v/>
      </c>
      <c r="R9" s="11">
        <f>J7</f>
        <v/>
      </c>
      <c r="S9" s="11">
        <f>B7</f>
        <v/>
      </c>
      <c r="T9" s="11">
        <f>E16</f>
        <v/>
      </c>
      <c r="U9" s="11">
        <f>B16</f>
        <v/>
      </c>
    </row>
    <row r="10">
      <c r="B10" s="5" t="inlineStr">
        <is>
          <t>Песчаник (1000–1900 м) разбит границей 1200 м, т.к. Ks меняется с 1,1 на 1,05. KF и KFR внутри пласта постоянны (давления отнесены к подошве пласта, 1900 м).</t>
        </is>
      </c>
      <c r="N10" s="11">
        <f>G7</f>
        <v/>
      </c>
      <c r="O10" s="11">
        <f>C8</f>
        <v/>
      </c>
      <c r="P10" s="11">
        <f>H7</f>
        <v/>
      </c>
      <c r="Q10" s="11">
        <f>C8</f>
        <v/>
      </c>
      <c r="R10" s="11">
        <f>J7</f>
        <v/>
      </c>
      <c r="S10" s="11">
        <f>C7</f>
        <v/>
      </c>
      <c r="T10" s="11">
        <f>E16</f>
        <v/>
      </c>
      <c r="U10" s="11">
        <f>C16</f>
        <v/>
      </c>
    </row>
    <row r="11">
      <c r="N11" s="11">
        <f>G9</f>
        <v/>
      </c>
      <c r="O11" s="11">
        <f>B9</f>
        <v/>
      </c>
      <c r="P11" s="11">
        <f>H9</f>
        <v/>
      </c>
      <c r="Q11" s="11">
        <f>B9</f>
        <v/>
      </c>
      <c r="R11" s="11">
        <f>J8</f>
        <v/>
      </c>
      <c r="S11" s="11">
        <f>B8</f>
        <v/>
      </c>
      <c r="T11" s="11" t="n"/>
      <c r="U11" s="11" t="n"/>
    </row>
    <row r="12">
      <c r="B12" s="7" t="inlineStr">
        <is>
          <t>Совместимость условий бурения по интервалам открытого ствола</t>
        </is>
      </c>
      <c r="N12" s="11">
        <f>G9</f>
        <v/>
      </c>
      <c r="O12" s="11">
        <f>C9</f>
        <v/>
      </c>
      <c r="P12" s="11">
        <f>H9</f>
        <v/>
      </c>
      <c r="Q12" s="11">
        <f>C9</f>
        <v/>
      </c>
      <c r="R12" s="11">
        <f>J8</f>
        <v/>
      </c>
      <c r="S12" s="11">
        <f>C8</f>
        <v/>
      </c>
      <c r="T12" s="11" t="n"/>
      <c r="U12" s="11" t="n"/>
    </row>
    <row r="13" ht="36" customHeight="1">
      <c r="B13" s="2" t="inlineStr">
        <is>
          <t>кровля, м</t>
        </is>
      </c>
      <c r="C13" s="2" t="inlineStr">
        <is>
          <t>подошва, м</t>
        </is>
      </c>
      <c r="D13" s="2" t="inlineStr">
        <is>
          <t>интервал бурения</t>
        </is>
      </c>
      <c r="E13" s="2" t="inlineStr">
        <is>
          <t>ρR принятая = max ρR</t>
        </is>
      </c>
      <c r="F13" s="2" t="inlineStr">
        <is>
          <t>KF max</t>
        </is>
      </c>
      <c r="G13" s="2" t="inlineStr">
        <is>
          <t>KFR min</t>
        </is>
      </c>
      <c r="H13" s="2" t="inlineStr">
        <is>
          <t>ρб.р., кг/м³</t>
        </is>
      </c>
      <c r="I13" s="2" t="inlineStr"/>
      <c r="J13" s="2" t="inlineStr"/>
      <c r="K13" s="2" t="inlineStr"/>
      <c r="L13" s="2" t="inlineStr">
        <is>
          <t>совместимость</t>
        </is>
      </c>
      <c r="N13" s="11" t="n"/>
      <c r="O13" s="11" t="n"/>
      <c r="P13" s="11" t="n"/>
      <c r="Q13" s="11" t="n"/>
      <c r="R13" s="11">
        <f>J9</f>
        <v/>
      </c>
      <c r="S13" s="11">
        <f>B9</f>
        <v/>
      </c>
      <c r="T13" s="11" t="n"/>
      <c r="U13" s="11" t="n"/>
    </row>
    <row r="14">
      <c r="B14" s="8" t="n">
        <v>0</v>
      </c>
      <c r="C14" s="8">
        <f>'3_Колонны'!D5</f>
        <v/>
      </c>
      <c r="D14" s="8" t="inlineStr">
        <is>
          <t>под кондуктор</t>
        </is>
      </c>
      <c r="E14" s="9">
        <f>J5</f>
        <v/>
      </c>
      <c r="F14" s="9">
        <f>G5</f>
        <v/>
      </c>
      <c r="G14" s="9">
        <f>H5</f>
        <v/>
      </c>
      <c r="H14" s="10">
        <f>E14*'1_Исходные данные'!$I$9</f>
        <v/>
      </c>
      <c r="I14" s="8" t="n"/>
      <c r="J14" s="8" t="n"/>
      <c r="K14" s="8" t="n"/>
      <c r="L14" s="8">
        <f>IF(AND(F14&lt;E14,E14&lt;G14),"совместимы","НЕсовместимы")</f>
        <v/>
      </c>
      <c r="N14" s="11" t="n"/>
      <c r="O14" s="11" t="n"/>
      <c r="P14" s="11" t="n"/>
      <c r="Q14" s="11" t="n"/>
      <c r="R14" s="11">
        <f>J9</f>
        <v/>
      </c>
      <c r="S14" s="11">
        <f>C9</f>
        <v/>
      </c>
      <c r="T14" s="11" t="n"/>
      <c r="U14" s="11" t="n"/>
    </row>
    <row r="15">
      <c r="B15" s="8">
        <f>'3_Колонны'!D5</f>
        <v/>
      </c>
      <c r="C15" s="8">
        <f>'3_Колонны'!D6</f>
        <v/>
      </c>
      <c r="D15" s="8" t="inlineStr">
        <is>
          <t>под промежуточную ОК</t>
        </is>
      </c>
      <c r="E15" s="9">
        <f>MAX(J5:J6)</f>
        <v/>
      </c>
      <c r="F15" s="9">
        <f>MAX(G5:G6)</f>
        <v/>
      </c>
      <c r="G15" s="9">
        <f>MIN(H5:H6)</f>
        <v/>
      </c>
      <c r="H15" s="10">
        <f>E15*'1_Исходные данные'!$I$9</f>
        <v/>
      </c>
      <c r="I15" s="8" t="n"/>
      <c r="J15" s="8" t="n"/>
      <c r="K15" s="8" t="n"/>
      <c r="L15" s="8">
        <f>IF(AND(F15&lt;E15,E15&lt;G15),"совместимы","НЕсовместимы")</f>
        <v/>
      </c>
    </row>
    <row r="16">
      <c r="B16" s="8">
        <f>'3_Колонны'!D6</f>
        <v/>
      </c>
      <c r="C16" s="8">
        <f>'3_Колонны'!D7</f>
        <v/>
      </c>
      <c r="D16" s="8" t="inlineStr">
        <is>
          <t>под эксплуатационную ОК</t>
        </is>
      </c>
      <c r="E16" s="9">
        <f>MAX(J7:J9)</f>
        <v/>
      </c>
      <c r="F16" s="9">
        <f>MAX(G7:G9)</f>
        <v/>
      </c>
      <c r="G16" s="9">
        <f>MIN(H7:H9)</f>
        <v/>
      </c>
      <c r="H16" s="10">
        <f>E16*'1_Исходные данные'!$I$9</f>
        <v/>
      </c>
      <c r="I16" s="8" t="n"/>
      <c r="J16" s="8" t="n"/>
      <c r="K16" s="8" t="n"/>
      <c r="L16" s="8">
        <f>IF(AND(F16&lt;E16,E16&lt;G16),"совместимы","НЕсовместимы")</f>
        <v/>
      </c>
    </row>
    <row r="18">
      <c r="B18" s="7" t="inlineStr">
        <is>
          <t>Проверка необходимости промежуточной колонны (можно ли бурить 0–2100 м одним стволом)</t>
        </is>
      </c>
    </row>
    <row r="19">
      <c r="B19" s="3" t="inlineStr">
        <is>
          <t>ρR, требуемая для 1000–2100 м</t>
        </is>
      </c>
      <c r="C19" s="3" t="n"/>
      <c r="D19" s="3" t="n"/>
      <c r="E19" s="3" t="n"/>
      <c r="F19" s="3" t="n"/>
      <c r="G19" s="3" t="n"/>
      <c r="H19" s="9">
        <f>E16</f>
        <v/>
      </c>
    </row>
    <row r="20">
      <c r="B20" s="3" t="inlineStr">
        <is>
          <t>KFR min в интервале 0–1000 м</t>
        </is>
      </c>
      <c r="C20" s="3" t="n"/>
      <c r="D20" s="3" t="n"/>
      <c r="E20" s="3" t="n"/>
      <c r="F20" s="3" t="n"/>
      <c r="G20" s="3" t="n"/>
      <c r="H20" s="9">
        <f>MIN(H5:H6)</f>
        <v/>
      </c>
    </row>
    <row r="21">
      <c r="B21" s="3" t="inlineStr">
        <is>
          <t>ρR, принятая для 0–1000 м</t>
        </is>
      </c>
      <c r="C21" s="3" t="n"/>
      <c r="D21" s="3" t="n"/>
      <c r="E21" s="3" t="n"/>
      <c r="F21" s="3" t="n"/>
      <c r="G21" s="3" t="n"/>
      <c r="H21" s="9">
        <f>E15</f>
        <v/>
      </c>
    </row>
    <row r="22">
      <c r="B22" s="3" t="inlineStr">
        <is>
          <t>KF в песчанике (1000–1900 м)</t>
        </is>
      </c>
      <c r="C22" s="3" t="n"/>
      <c r="D22" s="3" t="n"/>
      <c r="E22" s="3" t="n"/>
      <c r="F22" s="3" t="n"/>
      <c r="G22" s="3" t="n"/>
      <c r="H22" s="9">
        <f>G7</f>
        <v/>
      </c>
    </row>
    <row r="23" ht="32" customHeight="1">
      <c r="B23" s="3" t="inlineStr">
        <is>
          <t>Вывод</t>
        </is>
      </c>
      <c r="C23" s="3" t="n"/>
      <c r="D23" s="3" t="n"/>
      <c r="E23" s="3" t="n"/>
      <c r="F23" s="3" t="n"/>
      <c r="G23" s="3" t="n"/>
      <c r="H23" s="3">
        <f>IF(OR(H19&gt;=H20,H21&lt;=H22),"несовместимы: интервал 0–1000 м перекрыть промежуточной колонной до вскрытия песчаника","совместимы")</f>
        <v/>
      </c>
      <c r="I23" s="12" t="n"/>
      <c r="J23" s="12" t="n"/>
      <c r="K23" s="12" t="n"/>
      <c r="L23" s="13" t="n"/>
    </row>
    <row r="25">
      <c r="B25" s="7" t="inlineStr">
        <is>
          <t>Проверка репрессии и отсутствия поглощения (на подошве каждого подынтервала, принятая ρR)</t>
        </is>
      </c>
    </row>
    <row r="26" ht="36" customHeight="1">
      <c r="B26" s="2" t="inlineStr">
        <is>
          <t>z, м</t>
        </is>
      </c>
      <c r="C26" s="2" t="inlineStr">
        <is>
          <t>ρR принятая</t>
        </is>
      </c>
      <c r="D26" s="2" t="inlineStr">
        <is>
          <t>Pпл(z), МПа</t>
        </is>
      </c>
      <c r="E26" s="2" t="inlineStr">
        <is>
          <t>Pгс(z), МПа</t>
        </is>
      </c>
      <c r="F26" s="2" t="inlineStr">
        <is>
          <t>Pпогл(z), МПа</t>
        </is>
      </c>
      <c r="G26" s="2" t="inlineStr">
        <is>
          <t>ΔPрепр, МПа</t>
        </is>
      </c>
      <c r="H26" s="2" t="inlineStr">
        <is>
          <t>репрессия, %</t>
        </is>
      </c>
      <c r="I26" s="2" t="inlineStr">
        <is>
          <t>треб. ≥ %</t>
        </is>
      </c>
      <c r="J26" s="2" t="inlineStr">
        <is>
          <t>ΔP ≤ доп.</t>
        </is>
      </c>
      <c r="K26" s="2" t="inlineStr">
        <is>
          <t>Pгс &lt; Pпогл</t>
        </is>
      </c>
      <c r="L26" s="2" t="inlineStr">
        <is>
          <t>итог</t>
        </is>
      </c>
    </row>
    <row r="27">
      <c r="B27" s="8">
        <f>C5</f>
        <v/>
      </c>
      <c r="C27" s="11">
        <f>E14</f>
        <v/>
      </c>
      <c r="D27" s="14">
        <f>G5*'1_Исходные данные'!$I$9*'1_Исходные данные'!$I$8*B27/10^6</f>
        <v/>
      </c>
      <c r="E27" s="14">
        <f>C27*'1_Исходные данные'!$I$9*'1_Исходные данные'!$I$8*B27/10^6</f>
        <v/>
      </c>
      <c r="F27" s="14">
        <f>H5*'1_Исходные данные'!$I$9*'1_Исходные данные'!$I$8*B27/10^6</f>
        <v/>
      </c>
      <c r="G27" s="14">
        <f>E27-D27</f>
        <v/>
      </c>
      <c r="H27" s="15">
        <f>(E27/D27-1)*100</f>
        <v/>
      </c>
      <c r="I27" s="15">
        <f>(I5-1)*100</f>
        <v/>
      </c>
      <c r="J27" s="8">
        <f>IF(G27&lt;='1_Исходные данные'!$I$15,"да","нет")</f>
        <v/>
      </c>
      <c r="K27" s="8">
        <f>IF(E27&lt;F27,"да","нет")</f>
        <v/>
      </c>
      <c r="L27" s="8">
        <f>IF(AND(H27&gt;=I27-0.01,J27="да",K27="да"),"ОК","проверить")</f>
        <v/>
      </c>
    </row>
    <row r="28">
      <c r="B28" s="8">
        <f>C6</f>
        <v/>
      </c>
      <c r="C28" s="11">
        <f>E15</f>
        <v/>
      </c>
      <c r="D28" s="14">
        <f>G6*'1_Исходные данные'!$I$9*'1_Исходные данные'!$I$8*B28/10^6</f>
        <v/>
      </c>
      <c r="E28" s="14">
        <f>C28*'1_Исходные данные'!$I$9*'1_Исходные данные'!$I$8*B28/10^6</f>
        <v/>
      </c>
      <c r="F28" s="14">
        <f>H6*'1_Исходные данные'!$I$9*'1_Исходные данные'!$I$8*B28/10^6</f>
        <v/>
      </c>
      <c r="G28" s="14">
        <f>E28-D28</f>
        <v/>
      </c>
      <c r="H28" s="15">
        <f>(E28/D28-1)*100</f>
        <v/>
      </c>
      <c r="I28" s="15">
        <f>(I6-1)*100</f>
        <v/>
      </c>
      <c r="J28" s="8">
        <f>IF(G28&lt;='1_Исходные данные'!$I$15,"да","нет")</f>
        <v/>
      </c>
      <c r="K28" s="8">
        <f>IF(E28&lt;F28,"да","нет")</f>
        <v/>
      </c>
      <c r="L28" s="8">
        <f>IF(AND(H28&gt;=I28-0.01,J28="да",K28="да"),"ОК","проверить")</f>
        <v/>
      </c>
    </row>
    <row r="29">
      <c r="B29" s="8">
        <f>C7</f>
        <v/>
      </c>
      <c r="C29" s="11">
        <f>E16</f>
        <v/>
      </c>
      <c r="D29" s="14">
        <f>G7*'1_Исходные данные'!$I$9*'1_Исходные данные'!$I$8*B29/10^6</f>
        <v/>
      </c>
      <c r="E29" s="14">
        <f>C29*'1_Исходные данные'!$I$9*'1_Исходные данные'!$I$8*B29/10^6</f>
        <v/>
      </c>
      <c r="F29" s="14">
        <f>H7*'1_Исходные данные'!$I$9*'1_Исходные данные'!$I$8*B29/10^6</f>
        <v/>
      </c>
      <c r="G29" s="14">
        <f>E29-D29</f>
        <v/>
      </c>
      <c r="H29" s="15">
        <f>(E29/D29-1)*100</f>
        <v/>
      </c>
      <c r="I29" s="15">
        <f>(I7-1)*100</f>
        <v/>
      </c>
      <c r="J29" s="8">
        <f>IF(G29&lt;='1_Исходные данные'!$I$15,"да","нет")</f>
        <v/>
      </c>
      <c r="K29" s="8">
        <f>IF(E29&lt;F29,"да","нет")</f>
        <v/>
      </c>
      <c r="L29" s="8">
        <f>IF(AND(H29&gt;=I29-0.01,J29="да",K29="да"),"ОК","проверить")</f>
        <v/>
      </c>
    </row>
    <row r="30">
      <c r="B30" s="8">
        <f>C8</f>
        <v/>
      </c>
      <c r="C30" s="11">
        <f>E16</f>
        <v/>
      </c>
      <c r="D30" s="14">
        <f>G8*'1_Исходные данные'!$I$9*'1_Исходные данные'!$I$8*B30/10^6</f>
        <v/>
      </c>
      <c r="E30" s="14">
        <f>C30*'1_Исходные данные'!$I$9*'1_Исходные данные'!$I$8*B30/10^6</f>
        <v/>
      </c>
      <c r="F30" s="14">
        <f>H8*'1_Исходные данные'!$I$9*'1_Исходные данные'!$I$8*B30/10^6</f>
        <v/>
      </c>
      <c r="G30" s="14">
        <f>E30-D30</f>
        <v/>
      </c>
      <c r="H30" s="15">
        <f>(E30/D30-1)*100</f>
        <v/>
      </c>
      <c r="I30" s="15">
        <f>(I8-1)*100</f>
        <v/>
      </c>
      <c r="J30" s="8">
        <f>IF(G30&lt;='1_Исходные данные'!$I$15,"да","нет")</f>
        <v/>
      </c>
      <c r="K30" s="8">
        <f>IF(E30&lt;F30,"да","нет")</f>
        <v/>
      </c>
      <c r="L30" s="8">
        <f>IF(AND(H30&gt;=I30-0.01,J30="да",K30="да"),"ОК","проверить")</f>
        <v/>
      </c>
    </row>
    <row r="31">
      <c r="B31" s="8">
        <f>C9</f>
        <v/>
      </c>
      <c r="C31" s="11">
        <f>E16</f>
        <v/>
      </c>
      <c r="D31" s="14">
        <f>G9*'1_Исходные данные'!$I$9*'1_Исходные данные'!$I$8*B31/10^6</f>
        <v/>
      </c>
      <c r="E31" s="14">
        <f>C31*'1_Исходные данные'!$I$9*'1_Исходные данные'!$I$8*B31/10^6</f>
        <v/>
      </c>
      <c r="F31" s="14">
        <f>H9*'1_Исходные данные'!$I$9*'1_Исходные данные'!$I$8*B31/10^6</f>
        <v/>
      </c>
      <c r="G31" s="14">
        <f>E31-D31</f>
        <v/>
      </c>
      <c r="H31" s="15">
        <f>(E31/D31-1)*100</f>
        <v/>
      </c>
      <c r="I31" s="15">
        <f>(I9-1)*100</f>
        <v/>
      </c>
      <c r="J31" s="8">
        <f>IF(G31&lt;='1_Исходные данные'!$I$15,"да","нет")</f>
        <v/>
      </c>
      <c r="K31" s="8">
        <f>IF(E31&lt;F31,"да","нет")</f>
        <v/>
      </c>
      <c r="L31" s="8">
        <f>IF(AND(H31&gt;=I31-0.01,J31="да",K31="да"),"ОК","проверить")</f>
        <v/>
      </c>
    </row>
    <row r="32">
      <c r="B32" s="5" t="inlineStr">
        <is>
          <t>Репрессия в 1000–1200 м = 10 % (ровно норма), ниже 1200 м — больше 5 %; максимальное превышение над пластовым — у подошвы песчаника (1900 м) — не превышает 2,5 МПа.</t>
        </is>
      </c>
    </row>
  </sheetData>
  <mergeCells count="6">
    <mergeCell ref="B19:G19"/>
    <mergeCell ref="B20:G20"/>
    <mergeCell ref="B22:G22"/>
    <mergeCell ref="B23:G23"/>
    <mergeCell ref="H23:L23"/>
    <mergeCell ref="B21:G2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1:E15"/>
  <sheetViews>
    <sheetView zoomScale="10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2" customWidth="1" min="3" max="3"/>
    <col width="12" customWidth="1" min="4" max="4"/>
    <col width="85" customWidth="1" min="5" max="5"/>
  </cols>
  <sheetData>
    <row r="1">
      <c r="B1" s="1" t="inlineStr">
        <is>
          <t>Число и глубины спуска обсадных колонн, интервалы цементирования</t>
        </is>
      </c>
    </row>
    <row r="4">
      <c r="B4" s="2" t="inlineStr">
        <is>
          <t>Колонна</t>
        </is>
      </c>
      <c r="C4" s="2" t="inlineStr">
        <is>
          <t>кровля, м</t>
        </is>
      </c>
      <c r="D4" s="2" t="inlineStr">
        <is>
          <t>башмак, м</t>
        </is>
      </c>
      <c r="E4" s="2" t="inlineStr">
        <is>
          <t>Обоснование глубины спуска</t>
        </is>
      </c>
    </row>
    <row r="5" ht="48" customHeight="1">
      <c r="B5" s="8" t="inlineStr">
        <is>
          <t>Кондуктор</t>
        </is>
      </c>
      <c r="C5" s="8" t="n">
        <v>0</v>
      </c>
      <c r="D5" s="16">
        <f>'1_Исходные данные'!$I$7+10</f>
        <v/>
      </c>
      <c r="E5" s="3" t="inlineStr">
        <is>
          <t>Перекрывает неустойчивые породы, склонные к поглощениям (0–250 м); башмак на 10 м ниже, в устойчивом алевролите.</t>
        </is>
      </c>
    </row>
    <row r="6" ht="48" customHeight="1">
      <c r="B6" s="8" t="inlineStr">
        <is>
          <t>Промежуточная</t>
        </is>
      </c>
      <c r="C6" s="8" t="n">
        <v>0</v>
      </c>
      <c r="D6" s="16">
        <f>'1_Исходные данные'!C6</f>
        <v/>
      </c>
      <c r="E6" s="3" t="inlineStr">
        <is>
          <t>Изолирует интервал 0–1000 м (KFR min = 1,22) перед вскрытием песчаника с АВПД (требуется ρR = 1,40). Башмак — в подошве глин (непроницаемые породы) на границе с песчаником.</t>
        </is>
      </c>
    </row>
    <row r="7" ht="48" customHeight="1">
      <c r="B7" s="8" t="inlineStr">
        <is>
          <t>Эксплуатационная</t>
        </is>
      </c>
      <c r="C7" s="8" t="n">
        <v>0</v>
      </c>
      <c r="D7" s="16">
        <f>'1_Исходные данные'!$I$5</f>
        <v/>
      </c>
      <c r="E7" s="3" t="inlineStr">
        <is>
          <t>До проектной глубины; Ø задан заданием (114,3 мм).</t>
        </is>
      </c>
    </row>
    <row r="9">
      <c r="B9" s="7" t="inlineStr">
        <is>
          <t>Интервалы цементирования</t>
        </is>
      </c>
    </row>
    <row r="10">
      <c r="B10" s="2" t="inlineStr">
        <is>
          <t>Колонна</t>
        </is>
      </c>
      <c r="C10" s="2" t="inlineStr">
        <is>
          <t>кровля цемента, м</t>
        </is>
      </c>
      <c r="D10" s="2" t="inlineStr">
        <is>
          <t>подошва, м</t>
        </is>
      </c>
      <c r="E10" s="2" t="inlineStr">
        <is>
          <t>Обоснование</t>
        </is>
      </c>
    </row>
    <row r="11" ht="62" customHeight="1">
      <c r="B11" s="8" t="inlineStr">
        <is>
          <t>Кондуктор</t>
        </is>
      </c>
      <c r="C11" s="16">
        <f>0</f>
        <v/>
      </c>
      <c r="D11" s="8">
        <f>D5</f>
        <v/>
      </c>
      <c r="E11" s="3" t="inlineStr">
        <is>
          <t>ПБ п. 2.7.4.10: кондуктор цементируется до устья.</t>
        </is>
      </c>
    </row>
    <row r="12" ht="62" customHeight="1">
      <c r="B12" s="8" t="inlineStr">
        <is>
          <t>Промежуточная</t>
        </is>
      </c>
      <c r="C12" s="16">
        <f>MAX(0,D5-'1_Исходные данные'!$I$13)</f>
        <v/>
      </c>
      <c r="D12" s="8">
        <f>D6</f>
        <v/>
      </c>
      <c r="E12" s="3" t="inlineStr">
        <is>
          <t>ПБ п. 2.7.4.11: подъём над башмаком предыдущей ОК не менее 500 м (газовая скв.): 260 − 500 &lt; 0 → до устья.</t>
        </is>
      </c>
    </row>
    <row r="13" ht="62" customHeight="1">
      <c r="B13" s="8" t="inlineStr">
        <is>
          <t>Эксплуатационная</t>
        </is>
      </c>
      <c r="C13" s="16">
        <f>MAX(0,D6-'1_Исходные данные'!$I$13)</f>
        <v/>
      </c>
      <c r="D13" s="8">
        <f>D7</f>
        <v/>
      </c>
      <c r="E13" s="3" t="inlineStr">
        <is>
          <t>ПБ п. 2.7.4.11: не менее 500 м над башмаком промежуточной (1000 м) → кровля цемента 500 м; перекрывает продуктивный известняк, проницаемый песчаник с АВПД; над кровлей продуктивного пласта (1900 м) 1400 м &gt; 500 м.</t>
        </is>
      </c>
    </row>
    <row r="14">
      <c r="B14" s="3" t="inlineStr">
        <is>
          <t>Высота цементного кольца эксплуатационной колонны, м</t>
        </is>
      </c>
      <c r="C14" s="3" t="n"/>
      <c r="D14" s="3">
        <f>D13-C13</f>
        <v/>
      </c>
    </row>
    <row r="15">
      <c r="B15" s="3" t="inlineStr">
        <is>
          <t>Перекрытие с промежуточной колонной, м</t>
        </is>
      </c>
      <c r="C15" s="3" t="n"/>
      <c r="D15" s="3">
        <f>D6-C13</f>
        <v/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1:F25"/>
  <sheetViews>
    <sheetView zoomScale="100" workbookViewId="0">
      <selection activeCell="A1" sqref="A1"/>
    </sheetView>
  </sheetViews>
  <sheetFormatPr baseColWidth="8" defaultRowHeight="15"/>
  <cols>
    <col width="3" customWidth="1" min="1" max="1"/>
    <col width="46" customWidth="1" min="2" max="2"/>
    <col width="10" customWidth="1" min="3" max="3"/>
    <col width="18" customWidth="1" min="4" max="4"/>
    <col width="16" customWidth="1" min="5" max="5"/>
    <col width="14" customWidth="1" min="6" max="6"/>
  </cols>
  <sheetData>
    <row r="1">
      <c r="B1" s="1" t="inlineStr">
        <is>
          <t>Расчёт диаметров долот и обсадных колонн (отечественная методика, снизу вверх)</t>
        </is>
      </c>
    </row>
    <row r="2">
      <c r="B2" s="6" t="inlineStr">
        <is>
          <t>DB = dм + 2Δ  →  долото по ГОСТ 20692 ≥ DB;   d пред. ОК ≥ DB + 2δ  →  ОК по ГОСТ 632-80</t>
        </is>
      </c>
    </row>
    <row r="4">
      <c r="B4" s="2" t="inlineStr">
        <is>
          <t>Параметр</t>
        </is>
      </c>
      <c r="C4" s="2" t="inlineStr">
        <is>
          <t>обозн.</t>
        </is>
      </c>
      <c r="D4" s="2" t="inlineStr">
        <is>
          <t>Эксплуатационная</t>
        </is>
      </c>
      <c r="E4" s="2" t="inlineStr">
        <is>
          <t>Промежуточная</t>
        </is>
      </c>
      <c r="F4" s="2" t="inlineStr">
        <is>
          <t>Кондуктор</t>
        </is>
      </c>
    </row>
    <row r="5">
      <c r="B5" s="3" t="inlineStr">
        <is>
          <t>Глубина спуска L, м</t>
        </is>
      </c>
      <c r="C5" s="8" t="inlineStr">
        <is>
          <t>L</t>
        </is>
      </c>
      <c r="D5" s="15">
        <f>'3_Колонны'!D7</f>
        <v/>
      </c>
      <c r="E5" s="15">
        <f>'3_Колонны'!D6</f>
        <v/>
      </c>
      <c r="F5" s="15">
        <f>'3_Колонны'!D5</f>
        <v/>
      </c>
    </row>
    <row r="6">
      <c r="B6" s="3" t="inlineStr">
        <is>
          <t>Требуемый внутр. диаметр d ≥ DB(след.) + 2δ, мм</t>
        </is>
      </c>
      <c r="C6" s="8" t="inlineStr">
        <is>
          <t>d min</t>
        </is>
      </c>
      <c r="D6" s="15" t="inlineStr">
        <is>
          <t>—</t>
        </is>
      </c>
      <c r="E6" s="15">
        <f>D14+2*'1_Исходные данные'!$I$14</f>
        <v/>
      </c>
      <c r="F6" s="15">
        <f>E14+2*'1_Исходные данные'!$I$14</f>
        <v/>
      </c>
    </row>
    <row r="7">
      <c r="B7" s="3" t="inlineStr">
        <is>
          <t>Наружный диаметр ОК D, мм</t>
        </is>
      </c>
      <c r="C7" s="8" t="inlineStr">
        <is>
          <t>D</t>
        </is>
      </c>
      <c r="D7" s="17">
        <f>'1_Исходные данные'!$I$6</f>
        <v/>
      </c>
      <c r="E7" s="17">
        <f t="array" ref="E7">MIN(IF('ГОСТ 632-80 (ОТТМ)'!$E$4:$E$77&gt;=E6,'ГОСТ 632-80 (ОТТМ)'!$C$4:$C$77))</f>
        <v/>
      </c>
      <c r="F7" s="17">
        <f t="array" ref="F7">MIN(IF('ГОСТ 632-80 (ОТТМ)'!$E$4:$E$77&gt;=F6,'ГОСТ 632-80 (ОТТМ)'!$C$4:$C$77))</f>
        <v/>
      </c>
    </row>
    <row r="8">
      <c r="B8" s="3" t="inlineStr">
        <is>
          <t>Условный диаметр, мм</t>
        </is>
      </c>
      <c r="C8" s="8" t="inlineStr">
        <is>
          <t>Dусл</t>
        </is>
      </c>
      <c r="D8" s="15">
        <f>INDEX('ГОСТ 632-80 (ОТТМ)'!$B$4:$B$77,MATCH(D7,'ГОСТ 632-80 (ОТТМ)'!$C$4:$C$77,0))</f>
        <v/>
      </c>
      <c r="E8" s="15">
        <f>INDEX('ГОСТ 632-80 (ОТТМ)'!$B$4:$B$77,MATCH(E7,'ГОСТ 632-80 (ОТТМ)'!$C$4:$C$77,0))</f>
        <v/>
      </c>
      <c r="F8" s="15">
        <f>INDEX('ГОСТ 632-80 (ОТТМ)'!$B$4:$B$77,MATCH(F7,'ГОСТ 632-80 (ОТТМ)'!$C$4:$C$77,0))</f>
        <v/>
      </c>
    </row>
    <row r="9">
      <c r="B9" s="3" t="inlineStr">
        <is>
          <t>Толщина стенки s, мм (предварительно)</t>
        </is>
      </c>
      <c r="C9" s="8" t="inlineStr">
        <is>
          <t>s</t>
        </is>
      </c>
      <c r="D9" s="15" t="inlineStr">
        <is>
          <t>по расчёту на прочность</t>
        </is>
      </c>
      <c r="E9" s="18" t="n">
        <v>10.4</v>
      </c>
      <c r="F9" s="18" t="n">
        <v>8.9</v>
      </c>
    </row>
    <row r="10">
      <c r="B10" s="3" t="inlineStr">
        <is>
          <t>Внутренний диаметр d, мм</t>
        </is>
      </c>
      <c r="C10" s="8" t="inlineStr">
        <is>
          <t>d</t>
        </is>
      </c>
      <c r="D10" s="15" t="inlineStr">
        <is>
          <t>—</t>
        </is>
      </c>
      <c r="E10" s="15">
        <f>SUMIFS('ГОСТ 632-80 (ОТТМ)'!$E$4:$E$77,'ГОСТ 632-80 (ОТТМ)'!$C$4:$C$77,E7,'ГОСТ 632-80 (ОТТМ)'!$D$4:$D$77,E9)</f>
        <v/>
      </c>
      <c r="F10" s="15">
        <f>SUMIFS('ГОСТ 632-80 (ОТТМ)'!$E$4:$E$77,'ГОСТ 632-80 (ОТТМ)'!$C$4:$C$77,F7,'ГОСТ 632-80 (ОТТМ)'!$D$4:$D$77,F9)</f>
        <v/>
      </c>
    </row>
    <row r="11">
      <c r="B11" s="3" t="inlineStr">
        <is>
          <t>Наружный диаметр муфты ОТТМ dм, мм</t>
        </is>
      </c>
      <c r="C11" s="8" t="inlineStr">
        <is>
          <t>dм</t>
        </is>
      </c>
      <c r="D11" s="15">
        <f>INDEX('ГОСТ 632-80 (ОТТМ)'!$F$4:$F$77,MATCH(D7,'ГОСТ 632-80 (ОТТМ)'!$C$4:$C$77,0))</f>
        <v/>
      </c>
      <c r="E11" s="15">
        <f>INDEX('ГОСТ 632-80 (ОТТМ)'!$F$4:$F$77,MATCH(E7,'ГОСТ 632-80 (ОТТМ)'!$C$4:$C$77,0))</f>
        <v/>
      </c>
      <c r="F11" s="15">
        <f>INDEX('ГОСТ 632-80 (ОТТМ)'!$F$4:$F$77,MATCH(F7,'ГОСТ 632-80 (ОТТМ)'!$C$4:$C$77,0))</f>
        <v/>
      </c>
    </row>
    <row r="12">
      <c r="B12" s="3" t="inlineStr">
        <is>
          <t>Минимальный радиальный зазор Δ, мм</t>
        </is>
      </c>
      <c r="C12" s="8" t="inlineStr">
        <is>
          <t>Δ</t>
        </is>
      </c>
      <c r="D12" s="15">
        <f t="array" ref="D12">MIN(IF('ГОСТ 632-80 (ОТТМ)'!$H$5:$H$9&gt;=D8,'ГОСТ 632-80 (ОТТМ)'!$I$5:$I$9))</f>
        <v/>
      </c>
      <c r="E12" s="15">
        <f t="array" ref="E12">MIN(IF('ГОСТ 632-80 (ОТТМ)'!$H$5:$H$9&gt;=E8,'ГОСТ 632-80 (ОТТМ)'!$I$5:$I$9))</f>
        <v/>
      </c>
      <c r="F12" s="15">
        <f t="array" ref="F12">MIN(IF('ГОСТ 632-80 (ОТТМ)'!$H$5:$H$9&gt;=F8,'ГОСТ 632-80 (ОТТМ)'!$I$5:$I$9))</f>
        <v/>
      </c>
    </row>
    <row r="13">
      <c r="B13" s="3" t="inlineStr">
        <is>
          <t>Расчётный диаметр долота DB = dм + 2Δ, мм</t>
        </is>
      </c>
      <c r="C13" s="8" t="inlineStr">
        <is>
          <t>DB расч</t>
        </is>
      </c>
      <c r="D13" s="15">
        <f>D11+2*D12</f>
        <v/>
      </c>
      <c r="E13" s="15">
        <f>E11+2*E12</f>
        <v/>
      </c>
      <c r="F13" s="15">
        <f>F11+2*F12</f>
        <v/>
      </c>
    </row>
    <row r="14">
      <c r="B14" s="3" t="inlineStr">
        <is>
          <t>Диаметр долота по ГОСТ 20692 (≥ DB расч), мм</t>
        </is>
      </c>
      <c r="C14" s="8" t="inlineStr">
        <is>
          <t>DB</t>
        </is>
      </c>
      <c r="D14" s="17">
        <f t="array" ref="D14">MIN(IF('ГОСТ 20692-2003 (долота)'!$B$4:$B$45&gt;=D13,'ГОСТ 20692-2003 (долота)'!$B$4:$B$45))</f>
        <v/>
      </c>
      <c r="E14" s="17">
        <f t="array" ref="E14">MIN(IF('ГОСТ 20692-2003 (долота)'!$B$4:$B$45&gt;=E13,'ГОСТ 20692-2003 (долота)'!$B$4:$B$45))</f>
        <v/>
      </c>
      <c r="F14" s="17">
        <f t="array" ref="F14">MIN(IF('ГОСТ 20692-2003 (долота)'!$B$4:$B$45&gt;=F13,'ГОСТ 20692-2003 (долота)'!$B$4:$B$45))</f>
        <v/>
      </c>
    </row>
    <row r="15">
      <c r="B15" s="3" t="inlineStr">
        <is>
          <t>Фактический радиальный зазор (DB − dм)/2, мм</t>
        </is>
      </c>
      <c r="C15" s="8" t="inlineStr">
        <is>
          <t>Δ факт</t>
        </is>
      </c>
      <c r="D15" s="15">
        <f>(D14-D11)/2</f>
        <v/>
      </c>
      <c r="E15" s="15">
        <f>(E14-E11)/2</f>
        <v/>
      </c>
      <c r="F15" s="15">
        <f>(F14-F11)/2</f>
        <v/>
      </c>
    </row>
    <row r="16">
      <c r="B16" s="3" t="inlineStr">
        <is>
          <t>Фактический зазор δ для долота след. интервала, мм</t>
        </is>
      </c>
      <c r="C16" s="8" t="inlineStr">
        <is>
          <t>δ факт</t>
        </is>
      </c>
      <c r="D16" s="15" t="inlineStr">
        <is>
          <t>—</t>
        </is>
      </c>
      <c r="E16" s="15">
        <f>(E10-D14)/2</f>
        <v/>
      </c>
      <c r="F16" s="15">
        <f>(F10-E14)/2</f>
        <v/>
      </c>
    </row>
    <row r="18">
      <c r="B18" s="7" t="inlineStr">
        <is>
          <t>Итог (отечественная методика)</t>
        </is>
      </c>
    </row>
    <row r="19">
      <c r="B19">
        <f>"Эксплуатационная "&amp;FIXED(D7,1)&amp;" мм — долото "&amp;FIXED(D14,1)&amp;" мм; L = "&amp;D5&amp;" м"</f>
        <v/>
      </c>
    </row>
    <row r="20">
      <c r="B20">
        <f>"Промежуточная "&amp;FIXED(E7,1)&amp;" мм — долото "&amp;FIXED(E14,1)&amp;" мм; L = "&amp;E5&amp;" м"</f>
        <v/>
      </c>
    </row>
    <row r="21">
      <c r="B21">
        <f>"Кондуктор "&amp;FIXED(F7,1)&amp;" мм — долото "&amp;FIXED(F14,1)&amp;" мм; L = "&amp;F5&amp;" м"</f>
        <v/>
      </c>
    </row>
    <row r="23">
      <c r="B23" s="19" t="inlineStr">
        <is>
          <t>Примечания: 1) муфты — ОТТМ (трапецеидальная резьба, лучше герметичность для газовой скважины); 2) толщины стенок предварительные — окончательно по расчёту на прочность; для промежуточной допустимы s = 6,9…10,4 мм (d ≥ 156 мм), для кондуктора — любая из таблицы (d ≥ 232,3 мм); 3) ОК 244,5 мм для кондуктора не подходит: её наибольший d = 228,7 мм &lt; 232,3 мм.</t>
        </is>
      </c>
    </row>
    <row r="24"/>
    <row r="25"/>
  </sheetData>
  <mergeCells count="1">
    <mergeCell ref="B23:F25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1:J16"/>
  <sheetViews>
    <sheetView zoomScale="10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  <col width="16" customWidth="1" min="10" max="10"/>
  </cols>
  <sheetData>
    <row r="1">
      <c r="B1" s="1" t="inlineStr">
        <is>
          <t>Подбор по зарубежной методике (схема С01, стр. 17–18, стандартный зазор) и сравнение</t>
        </is>
      </c>
    </row>
    <row r="4">
      <c r="B4" s="2" t="inlineStr">
        <is>
          <t>Колонна</t>
        </is>
      </c>
      <c r="C4" s="2" t="inlineStr">
        <is>
          <t>ОК, дюйм</t>
        </is>
      </c>
      <c r="D4" s="2" t="inlineStr">
        <is>
          <t>ОК, мм</t>
        </is>
      </c>
      <c r="E4" s="2" t="inlineStr">
        <is>
          <t>долото, дюйм</t>
        </is>
      </c>
      <c r="F4" s="2" t="inlineStr">
        <is>
          <t>долото, мм</t>
        </is>
      </c>
      <c r="G4" s="2" t="inlineStr">
        <is>
          <t>ОК РФ, мм</t>
        </is>
      </c>
      <c r="H4" s="2" t="inlineStr">
        <is>
          <t>долото РФ, мм</t>
        </is>
      </c>
      <c r="I4" s="2" t="inlineStr">
        <is>
          <t>разница долот, мм</t>
        </is>
      </c>
      <c r="J4" s="2" t="inlineStr">
        <is>
          <t>Δ факт = (Dдол − dм)/2</t>
        </is>
      </c>
    </row>
    <row r="5">
      <c r="B5" s="15" t="inlineStr">
        <is>
          <t>Эксплуатационная</t>
        </is>
      </c>
      <c r="C5" s="15" t="inlineStr">
        <is>
          <t>4 1/2"</t>
        </is>
      </c>
      <c r="D5" s="20" t="n">
        <v>114.3</v>
      </c>
      <c r="E5" s="15" t="inlineStr">
        <is>
          <t>6"</t>
        </is>
      </c>
      <c r="F5" s="20" t="n">
        <v>152.4</v>
      </c>
      <c r="G5" s="15">
        <f>'4_Диаметры (РФ)'!D7</f>
        <v/>
      </c>
      <c r="H5" s="15">
        <f>'4_Диаметры (РФ)'!D14</f>
        <v/>
      </c>
      <c r="I5" s="15">
        <f>F5-H5</f>
        <v/>
      </c>
      <c r="J5" s="15">
        <f>(F5-INDEX('ГОСТ 632-80 (ОТТМ)'!$F$4:$F$77,MATCH(D5,'ГОСТ 632-80 (ОТТМ)'!$C$4:$C$77,0)))/2</f>
        <v/>
      </c>
    </row>
    <row r="6">
      <c r="B6" s="15" t="inlineStr">
        <is>
          <t>Промежуточная</t>
        </is>
      </c>
      <c r="C6" s="15" t="inlineStr">
        <is>
          <t>7"</t>
        </is>
      </c>
      <c r="D6" s="20" t="n">
        <v>177.8</v>
      </c>
      <c r="E6" s="15" t="inlineStr">
        <is>
          <t>8 1/2"</t>
        </is>
      </c>
      <c r="F6" s="20" t="n">
        <v>215.9</v>
      </c>
      <c r="G6" s="15">
        <f>'4_Диаметры (РФ)'!E7</f>
        <v/>
      </c>
      <c r="H6" s="15">
        <f>'4_Диаметры (РФ)'!E14</f>
        <v/>
      </c>
      <c r="I6" s="15">
        <f>F6-H6</f>
        <v/>
      </c>
      <c r="J6" s="15">
        <f>(F6-INDEX('ГОСТ 632-80 (ОТТМ)'!$F$4:$F$77,MATCH(D6,'ГОСТ 632-80 (ОТТМ)'!$C$4:$C$77,0)))/2</f>
        <v/>
      </c>
    </row>
    <row r="7">
      <c r="B7" s="15" t="inlineStr">
        <is>
          <t>Кондуктор</t>
        </is>
      </c>
      <c r="C7" s="15" t="inlineStr">
        <is>
          <t>9 5/8"</t>
        </is>
      </c>
      <c r="D7" s="20" t="n">
        <v>244.5</v>
      </c>
      <c r="E7" s="15" t="inlineStr">
        <is>
          <t>12 1/4"</t>
        </is>
      </c>
      <c r="F7" s="20" t="n">
        <v>311.2</v>
      </c>
      <c r="G7" s="15">
        <f>'4_Диаметры (РФ)'!F7</f>
        <v/>
      </c>
      <c r="H7" s="15">
        <f>'4_Диаметры (РФ)'!F14</f>
        <v/>
      </c>
      <c r="I7" s="15">
        <f>F7-H7</f>
        <v/>
      </c>
      <c r="J7" s="15">
        <f>(F7-INDEX('ГОСТ 632-80 (ОТТМ)'!$F$4:$F$77,MATCH(D7,'ГОСТ 632-80 (ОТТМ)'!$C$4:$C$77,0)))/2</f>
        <v/>
      </c>
    </row>
    <row r="9">
      <c r="B9" s="7" t="inlineStr">
        <is>
          <t>Проверка зарубежного варианта по отечественным нормам</t>
        </is>
      </c>
    </row>
    <row r="10">
      <c r="B10" s="2" t="inlineStr">
        <is>
          <t>Колонна</t>
        </is>
      </c>
      <c r="C10" s="2" t="inlineStr">
        <is>
          <t>Δ треб., мм</t>
        </is>
      </c>
      <c r="D10" s="2" t="inlineStr">
        <is>
          <t>Δ факт, мм</t>
        </is>
      </c>
      <c r="E10" s="2" t="inlineStr">
        <is>
          <t>соответствует?</t>
        </is>
      </c>
      <c r="F10" s="2" t="inlineStr">
        <is>
          <t>долото есть в ГОСТ 20692?</t>
        </is>
      </c>
    </row>
    <row r="11">
      <c r="B11" s="15">
        <f>B5</f>
        <v/>
      </c>
      <c r="C11" s="15">
        <f t="array" ref="C11">MIN(IF('ГОСТ 632-80 (ОТТМ)'!$H$5:$H$9&gt;=INDEX('ГОСТ 632-80 (ОТТМ)'!$B$4:$B$77,MATCH(D5,'ГОСТ 632-80 (ОТТМ)'!$C$4:$C$77,0)),'ГОСТ 632-80 (ОТТМ)'!$I$5:$I$9))</f>
        <v/>
      </c>
      <c r="D11" s="15">
        <f>J5</f>
        <v/>
      </c>
      <c r="E11" s="15">
        <f>IF(D11&gt;=C11,"да","нет (Δ меньше нормы)")</f>
        <v/>
      </c>
      <c r="F11" s="15" t="inlineStr">
        <is>
          <t>нет (ближайшие 151,0 и 161,0)</t>
        </is>
      </c>
    </row>
    <row r="12">
      <c r="B12" s="15">
        <f>B6</f>
        <v/>
      </c>
      <c r="C12" s="15">
        <f t="array" ref="C12">MIN(IF('ГОСТ 632-80 (ОТТМ)'!$H$5:$H$9&gt;=INDEX('ГОСТ 632-80 (ОТТМ)'!$B$4:$B$77,MATCH(D6,'ГОСТ 632-80 (ОТТМ)'!$C$4:$C$77,0)),'ГОСТ 632-80 (ОТТМ)'!$I$5:$I$9))</f>
        <v/>
      </c>
      <c r="D12" s="15">
        <f>J6</f>
        <v/>
      </c>
      <c r="E12" s="15">
        <f>IF(D12&gt;=C12,"да","нет (Δ меньше нормы)")</f>
        <v/>
      </c>
      <c r="F12" s="15" t="inlineStr">
        <is>
          <t>да</t>
        </is>
      </c>
    </row>
    <row r="13">
      <c r="B13" s="15">
        <f>B7</f>
        <v/>
      </c>
      <c r="C13" s="15">
        <f t="array" ref="C13">MIN(IF('ГОСТ 632-80 (ОТТМ)'!$H$5:$H$9&gt;=INDEX('ГОСТ 632-80 (ОТТМ)'!$B$4:$B$77,MATCH(D7,'ГОСТ 632-80 (ОТТМ)'!$C$4:$C$77,0)),'ГОСТ 632-80 (ОТТМ)'!$I$5:$I$9))</f>
        <v/>
      </c>
      <c r="D13" s="15">
        <f>J7</f>
        <v/>
      </c>
      <c r="E13" s="15">
        <f>IF(D13&gt;=C13,"да","нет (Δ меньше нормы)")</f>
        <v/>
      </c>
      <c r="F13" s="15" t="inlineStr">
        <is>
          <t>да (311,1)</t>
        </is>
      </c>
    </row>
    <row r="15" ht="34" customHeight="1">
      <c r="B15" s="21" t="inlineStr">
        <is>
          <t>Альтернатива по схеме: долото 8 3/4" (222,3 мм) под ОК 7" → ОК 10 3/4" (273,1 мм) → долото 14 1/2" (368,3 мм) станд. / 12 1/2" (317,5 мм) малый зазор.</t>
        </is>
      </c>
    </row>
    <row r="16" ht="34" customHeight="1">
      <c r="B16" s="21" t="inlineStr">
        <is>
          <t>Вывод: Ø эксплуатационной и промежуточной колонн совпадают (114,3 и 177,8 мм). Зарубежная методика допускает меньший зазор под 7" колонну (долото 215,9 вместо 222,3 мм), поэтому кондуктор получается 244,5 мм вместо 273,1 мм (долото 311,2 вместо 349,2 мм).</t>
        </is>
      </c>
    </row>
  </sheetData>
  <mergeCells count="2">
    <mergeCell ref="B15:J15"/>
    <mergeCell ref="B16:J16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1:I77"/>
  <sheetViews>
    <sheetView zoomScale="10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</cols>
  <sheetData>
    <row r="1">
      <c r="B1" s="1" t="inlineStr">
        <is>
          <t>Трубы обсадные ОТТМ и муфты (ГОСТ 632-80), мм</t>
        </is>
      </c>
    </row>
    <row r="3">
      <c r="B3" s="2" t="inlineStr">
        <is>
          <t>условный Ø</t>
        </is>
      </c>
      <c r="C3" s="2" t="inlineStr">
        <is>
          <t>D</t>
        </is>
      </c>
      <c r="D3" s="2" t="inlineStr">
        <is>
          <t>s</t>
        </is>
      </c>
      <c r="E3" s="2" t="inlineStr">
        <is>
          <t>d</t>
        </is>
      </c>
      <c r="F3" s="2" t="inlineStr">
        <is>
          <t>Dн муфты</t>
        </is>
      </c>
      <c r="H3" s="7" t="inlineStr">
        <is>
          <t>Минимальный радиальный зазор Δ (семинар 1)</t>
        </is>
      </c>
    </row>
    <row r="4">
      <c r="B4" s="15" t="n">
        <v>114</v>
      </c>
      <c r="C4" s="15" t="n">
        <v>114.3</v>
      </c>
      <c r="D4" s="15" t="n">
        <v>6.4</v>
      </c>
      <c r="E4" s="15" t="n">
        <v>101.5</v>
      </c>
      <c r="F4" s="15" t="n">
        <v>127</v>
      </c>
      <c r="H4" s="2" t="inlineStr">
        <is>
          <t>условный Ø до</t>
        </is>
      </c>
      <c r="I4" s="2" t="inlineStr">
        <is>
          <t>Δ, мм</t>
        </is>
      </c>
    </row>
    <row r="5">
      <c r="B5" s="15" t="n">
        <v>114</v>
      </c>
      <c r="C5" s="15" t="n">
        <v>114.3</v>
      </c>
      <c r="D5" s="15" t="n">
        <v>7.4</v>
      </c>
      <c r="E5" s="15" t="n">
        <v>99.5</v>
      </c>
      <c r="F5" s="15" t="n">
        <v>127</v>
      </c>
      <c r="H5" s="8" t="n">
        <v>127</v>
      </c>
      <c r="I5" s="8" t="n">
        <v>8</v>
      </c>
    </row>
    <row r="6">
      <c r="B6" s="15" t="n">
        <v>114</v>
      </c>
      <c r="C6" s="15" t="n">
        <v>114.3</v>
      </c>
      <c r="D6" s="15" t="n">
        <v>8.6</v>
      </c>
      <c r="E6" s="15" t="n">
        <v>97.09999999999999</v>
      </c>
      <c r="F6" s="15" t="n">
        <v>127</v>
      </c>
      <c r="H6" s="8" t="n">
        <v>146</v>
      </c>
      <c r="I6" s="8" t="n">
        <v>10</v>
      </c>
    </row>
    <row r="7">
      <c r="B7" s="15" t="n">
        <v>114</v>
      </c>
      <c r="C7" s="15" t="n">
        <v>114.3</v>
      </c>
      <c r="D7" s="15" t="n">
        <v>10.2</v>
      </c>
      <c r="E7" s="15" t="n">
        <v>93.90000000000001</v>
      </c>
      <c r="F7" s="15" t="n">
        <v>127</v>
      </c>
      <c r="H7" s="8" t="n">
        <v>245</v>
      </c>
      <c r="I7" s="8" t="n">
        <v>13</v>
      </c>
    </row>
    <row r="8">
      <c r="B8" s="15" t="n">
        <v>127</v>
      </c>
      <c r="C8" s="15" t="n">
        <v>127</v>
      </c>
      <c r="D8" s="15" t="n">
        <v>6.4</v>
      </c>
      <c r="E8" s="15" t="n">
        <v>114.2</v>
      </c>
      <c r="F8" s="15" t="n">
        <v>141.3</v>
      </c>
      <c r="H8" s="8" t="n">
        <v>299</v>
      </c>
      <c r="I8" s="8" t="n">
        <v>18</v>
      </c>
    </row>
    <row r="9">
      <c r="B9" s="15" t="n">
        <v>127</v>
      </c>
      <c r="C9" s="15" t="n">
        <v>127</v>
      </c>
      <c r="D9" s="15" t="n">
        <v>7.5</v>
      </c>
      <c r="E9" s="15" t="n">
        <v>112</v>
      </c>
      <c r="F9" s="15" t="n">
        <v>141.3</v>
      </c>
      <c r="H9" s="8" t="n">
        <v>426</v>
      </c>
      <c r="I9" s="8" t="n">
        <v>22</v>
      </c>
    </row>
    <row r="10">
      <c r="B10" s="15" t="n">
        <v>127</v>
      </c>
      <c r="C10" s="15" t="n">
        <v>127</v>
      </c>
      <c r="D10" s="15" t="n">
        <v>9.199999999999999</v>
      </c>
      <c r="E10" s="15" t="n">
        <v>108.6</v>
      </c>
      <c r="F10" s="15" t="n">
        <v>141.3</v>
      </c>
    </row>
    <row r="11">
      <c r="B11" s="15" t="n">
        <v>127</v>
      </c>
      <c r="C11" s="15" t="n">
        <v>127</v>
      </c>
      <c r="D11" s="15" t="n">
        <v>10.7</v>
      </c>
      <c r="E11" s="15" t="n">
        <v>105.6</v>
      </c>
      <c r="F11" s="15" t="n">
        <v>141.3</v>
      </c>
      <c r="H11" s="5" t="inlineStr">
        <is>
          <t>Опечатки исходного docx исправлены по d = D − 2s.</t>
        </is>
      </c>
    </row>
    <row r="12">
      <c r="B12" s="15" t="n">
        <v>140</v>
      </c>
      <c r="C12" s="15" t="n">
        <v>139.7</v>
      </c>
      <c r="D12" s="15" t="n">
        <v>6.2</v>
      </c>
      <c r="E12" s="15" t="n">
        <v>127.3</v>
      </c>
      <c r="F12" s="15" t="n">
        <v>153.7</v>
      </c>
    </row>
    <row r="13">
      <c r="B13" s="15" t="n">
        <v>140</v>
      </c>
      <c r="C13" s="15" t="n">
        <v>139.7</v>
      </c>
      <c r="D13" s="15" t="n">
        <v>7</v>
      </c>
      <c r="E13" s="15" t="n">
        <v>125.7</v>
      </c>
      <c r="F13" s="15" t="n">
        <v>153.7</v>
      </c>
    </row>
    <row r="14">
      <c r="B14" s="15" t="n">
        <v>140</v>
      </c>
      <c r="C14" s="15" t="n">
        <v>139.7</v>
      </c>
      <c r="D14" s="15" t="n">
        <v>7.7</v>
      </c>
      <c r="E14" s="15" t="n">
        <v>124.3</v>
      </c>
      <c r="F14" s="15" t="n">
        <v>153.7</v>
      </c>
    </row>
    <row r="15">
      <c r="B15" s="15" t="n">
        <v>140</v>
      </c>
      <c r="C15" s="15" t="n">
        <v>139.7</v>
      </c>
      <c r="D15" s="15" t="n">
        <v>9.199999999999999</v>
      </c>
      <c r="E15" s="15" t="n">
        <v>121.3</v>
      </c>
      <c r="F15" s="15" t="n">
        <v>153.7</v>
      </c>
    </row>
    <row r="16">
      <c r="B16" s="15" t="n">
        <v>140</v>
      </c>
      <c r="C16" s="15" t="n">
        <v>139.7</v>
      </c>
      <c r="D16" s="15" t="n">
        <v>10.5</v>
      </c>
      <c r="E16" s="15" t="n">
        <v>118.7</v>
      </c>
      <c r="F16" s="15" t="n">
        <v>153.7</v>
      </c>
    </row>
    <row r="17">
      <c r="B17" s="15" t="n">
        <v>146</v>
      </c>
      <c r="C17" s="15" t="n">
        <v>146.1</v>
      </c>
      <c r="D17" s="15" t="n">
        <v>6.5</v>
      </c>
      <c r="E17" s="15" t="n">
        <v>133.1</v>
      </c>
      <c r="F17" s="15" t="n">
        <v>166</v>
      </c>
    </row>
    <row r="18">
      <c r="B18" s="15" t="n">
        <v>146</v>
      </c>
      <c r="C18" s="15" t="n">
        <v>146.1</v>
      </c>
      <c r="D18" s="15" t="n">
        <v>7</v>
      </c>
      <c r="E18" s="15" t="n">
        <v>132.1</v>
      </c>
      <c r="F18" s="15" t="n">
        <v>166</v>
      </c>
    </row>
    <row r="19">
      <c r="B19" s="15" t="n">
        <v>146</v>
      </c>
      <c r="C19" s="15" t="n">
        <v>146.1</v>
      </c>
      <c r="D19" s="15" t="n">
        <v>7.7</v>
      </c>
      <c r="E19" s="15" t="n">
        <v>130.7</v>
      </c>
      <c r="F19" s="15" t="n">
        <v>166</v>
      </c>
    </row>
    <row r="20">
      <c r="B20" s="15" t="n">
        <v>146</v>
      </c>
      <c r="C20" s="15" t="n">
        <v>146.1</v>
      </c>
      <c r="D20" s="15" t="n">
        <v>8.5</v>
      </c>
      <c r="E20" s="15" t="n">
        <v>129.1</v>
      </c>
      <c r="F20" s="15" t="n">
        <v>166</v>
      </c>
    </row>
    <row r="21">
      <c r="B21" s="15" t="n">
        <v>146</v>
      </c>
      <c r="C21" s="15" t="n">
        <v>146.1</v>
      </c>
      <c r="D21" s="15" t="n">
        <v>9.5</v>
      </c>
      <c r="E21" s="15" t="n">
        <v>127.1</v>
      </c>
      <c r="F21" s="15" t="n">
        <v>166</v>
      </c>
    </row>
    <row r="22">
      <c r="B22" s="15" t="n">
        <v>146</v>
      </c>
      <c r="C22" s="15" t="n">
        <v>146.1</v>
      </c>
      <c r="D22" s="15" t="n">
        <v>10.7</v>
      </c>
      <c r="E22" s="15" t="n">
        <v>124.7</v>
      </c>
      <c r="F22" s="15" t="n">
        <v>166</v>
      </c>
    </row>
    <row r="23">
      <c r="B23" s="15" t="n">
        <v>168</v>
      </c>
      <c r="C23" s="15" t="n">
        <v>168.3</v>
      </c>
      <c r="D23" s="15" t="n">
        <v>7.3</v>
      </c>
      <c r="E23" s="15" t="n">
        <v>153.7</v>
      </c>
      <c r="F23" s="15" t="n">
        <v>187.7</v>
      </c>
    </row>
    <row r="24">
      <c r="B24" s="15" t="n">
        <v>168</v>
      </c>
      <c r="C24" s="15" t="n">
        <v>168.3</v>
      </c>
      <c r="D24" s="15" t="n">
        <v>8</v>
      </c>
      <c r="E24" s="15" t="n">
        <v>152.3</v>
      </c>
      <c r="F24" s="15" t="n">
        <v>187.7</v>
      </c>
    </row>
    <row r="25">
      <c r="B25" s="15" t="n">
        <v>168</v>
      </c>
      <c r="C25" s="15" t="n">
        <v>168.3</v>
      </c>
      <c r="D25" s="15" t="n">
        <v>8.9</v>
      </c>
      <c r="E25" s="15" t="n">
        <v>150.5</v>
      </c>
      <c r="F25" s="15" t="n">
        <v>187.7</v>
      </c>
    </row>
    <row r="26">
      <c r="B26" s="15" t="n">
        <v>168</v>
      </c>
      <c r="C26" s="15" t="n">
        <v>168.3</v>
      </c>
      <c r="D26" s="15" t="n">
        <v>10.6</v>
      </c>
      <c r="E26" s="15" t="n">
        <v>147.1</v>
      </c>
      <c r="F26" s="15" t="n">
        <v>187.7</v>
      </c>
    </row>
    <row r="27">
      <c r="B27" s="15" t="n">
        <v>168</v>
      </c>
      <c r="C27" s="15" t="n">
        <v>168.3</v>
      </c>
      <c r="D27" s="15" t="n">
        <v>12.1</v>
      </c>
      <c r="E27" s="15" t="n">
        <v>144.1</v>
      </c>
      <c r="F27" s="15" t="n">
        <v>187.7</v>
      </c>
    </row>
    <row r="28">
      <c r="B28" s="15" t="n">
        <v>178</v>
      </c>
      <c r="C28" s="15" t="n">
        <v>177.8</v>
      </c>
      <c r="D28" s="15" t="n">
        <v>6.9</v>
      </c>
      <c r="E28" s="15" t="n">
        <v>164</v>
      </c>
      <c r="F28" s="15" t="n">
        <v>194.5</v>
      </c>
    </row>
    <row r="29">
      <c r="B29" s="15" t="n">
        <v>178</v>
      </c>
      <c r="C29" s="15" t="n">
        <v>177.8</v>
      </c>
      <c r="D29" s="15" t="n">
        <v>8.1</v>
      </c>
      <c r="E29" s="15" t="n">
        <v>161.6</v>
      </c>
      <c r="F29" s="15" t="n">
        <v>194.5</v>
      </c>
    </row>
    <row r="30">
      <c r="B30" s="15" t="n">
        <v>178</v>
      </c>
      <c r="C30" s="15" t="n">
        <v>177.8</v>
      </c>
      <c r="D30" s="15" t="n">
        <v>9.199999999999999</v>
      </c>
      <c r="E30" s="15" t="n">
        <v>159.4</v>
      </c>
      <c r="F30" s="15" t="n">
        <v>194.5</v>
      </c>
    </row>
    <row r="31">
      <c r="B31" s="15" t="n">
        <v>178</v>
      </c>
      <c r="C31" s="15" t="n">
        <v>177.8</v>
      </c>
      <c r="D31" s="15" t="n">
        <v>10.4</v>
      </c>
      <c r="E31" s="15" t="n">
        <v>157</v>
      </c>
      <c r="F31" s="15" t="n">
        <v>194.5</v>
      </c>
    </row>
    <row r="32">
      <c r="B32" s="15" t="n">
        <v>178</v>
      </c>
      <c r="C32" s="15" t="n">
        <v>177.8</v>
      </c>
      <c r="D32" s="15" t="n">
        <v>11.5</v>
      </c>
      <c r="E32" s="15" t="n">
        <v>154.8</v>
      </c>
      <c r="F32" s="15" t="n">
        <v>194.5</v>
      </c>
    </row>
    <row r="33">
      <c r="B33" s="15" t="n">
        <v>178</v>
      </c>
      <c r="C33" s="15" t="n">
        <v>177.8</v>
      </c>
      <c r="D33" s="15" t="n">
        <v>12.7</v>
      </c>
      <c r="E33" s="15" t="n">
        <v>152.4</v>
      </c>
      <c r="F33" s="15" t="n">
        <v>194.5</v>
      </c>
    </row>
    <row r="34">
      <c r="B34" s="15" t="n">
        <v>178</v>
      </c>
      <c r="C34" s="15" t="n">
        <v>177.8</v>
      </c>
      <c r="D34" s="15" t="n">
        <v>13.7</v>
      </c>
      <c r="E34" s="15" t="n">
        <v>150.4</v>
      </c>
      <c r="F34" s="15" t="n">
        <v>194.5</v>
      </c>
    </row>
    <row r="35">
      <c r="B35" s="15" t="n">
        <v>178</v>
      </c>
      <c r="C35" s="15" t="n">
        <v>177.8</v>
      </c>
      <c r="D35" s="15" t="n">
        <v>15</v>
      </c>
      <c r="E35" s="15" t="n">
        <v>147.8</v>
      </c>
      <c r="F35" s="15" t="n">
        <v>194.5</v>
      </c>
    </row>
    <row r="36">
      <c r="B36" s="15" t="n">
        <v>194</v>
      </c>
      <c r="C36" s="15" t="n">
        <v>193.7</v>
      </c>
      <c r="D36" s="15" t="n">
        <v>7.6</v>
      </c>
      <c r="E36" s="15" t="n">
        <v>178.5</v>
      </c>
      <c r="F36" s="15" t="n">
        <v>215.9</v>
      </c>
    </row>
    <row r="37">
      <c r="B37" s="15" t="n">
        <v>194</v>
      </c>
      <c r="C37" s="15" t="n">
        <v>193.7</v>
      </c>
      <c r="D37" s="15" t="n">
        <v>8.300000000000001</v>
      </c>
      <c r="E37" s="15" t="n">
        <v>177.1</v>
      </c>
      <c r="F37" s="15" t="n">
        <v>215.9</v>
      </c>
    </row>
    <row r="38">
      <c r="B38" s="15" t="n">
        <v>194</v>
      </c>
      <c r="C38" s="15" t="n">
        <v>193.7</v>
      </c>
      <c r="D38" s="15" t="n">
        <v>9.5</v>
      </c>
      <c r="E38" s="15" t="n">
        <v>174.7</v>
      </c>
      <c r="F38" s="15" t="n">
        <v>215.9</v>
      </c>
    </row>
    <row r="39">
      <c r="B39" s="15" t="n">
        <v>194</v>
      </c>
      <c r="C39" s="15" t="n">
        <v>193.7</v>
      </c>
      <c r="D39" s="15" t="n">
        <v>10.9</v>
      </c>
      <c r="E39" s="15" t="n">
        <v>171.9</v>
      </c>
      <c r="F39" s="15" t="n">
        <v>215.9</v>
      </c>
    </row>
    <row r="40">
      <c r="B40" s="15" t="n">
        <v>194</v>
      </c>
      <c r="C40" s="15" t="n">
        <v>193.7</v>
      </c>
      <c r="D40" s="15" t="n">
        <v>12.7</v>
      </c>
      <c r="E40" s="15" t="n">
        <v>168.3</v>
      </c>
      <c r="F40" s="15" t="n">
        <v>215.9</v>
      </c>
    </row>
    <row r="41">
      <c r="B41" s="15" t="n">
        <v>194</v>
      </c>
      <c r="C41" s="15" t="n">
        <v>193.7</v>
      </c>
      <c r="D41" s="15" t="n">
        <v>15.1</v>
      </c>
      <c r="E41" s="15" t="n">
        <v>163.5</v>
      </c>
      <c r="F41" s="15" t="n">
        <v>215.9</v>
      </c>
    </row>
    <row r="42">
      <c r="B42" s="15" t="n">
        <v>219</v>
      </c>
      <c r="C42" s="15" t="n">
        <v>219.1</v>
      </c>
      <c r="D42" s="15" t="n">
        <v>7.7</v>
      </c>
      <c r="E42" s="15" t="n">
        <v>203.7</v>
      </c>
      <c r="F42" s="15" t="n">
        <v>244.5</v>
      </c>
    </row>
    <row r="43">
      <c r="B43" s="15" t="n">
        <v>219</v>
      </c>
      <c r="C43" s="15" t="n">
        <v>219.1</v>
      </c>
      <c r="D43" s="15" t="n">
        <v>8.9</v>
      </c>
      <c r="E43" s="15" t="n">
        <v>201.3</v>
      </c>
      <c r="F43" s="15" t="n">
        <v>244.5</v>
      </c>
    </row>
    <row r="44">
      <c r="B44" s="15" t="n">
        <v>219</v>
      </c>
      <c r="C44" s="15" t="n">
        <v>219.1</v>
      </c>
      <c r="D44" s="15" t="n">
        <v>10.2</v>
      </c>
      <c r="E44" s="15" t="n">
        <v>198.7</v>
      </c>
      <c r="F44" s="15" t="n">
        <v>244.5</v>
      </c>
    </row>
    <row r="45">
      <c r="B45" s="15" t="n">
        <v>219</v>
      </c>
      <c r="C45" s="15" t="n">
        <v>219.1</v>
      </c>
      <c r="D45" s="15" t="n">
        <v>11.4</v>
      </c>
      <c r="E45" s="15" t="n">
        <v>196.3</v>
      </c>
      <c r="F45" s="15" t="n">
        <v>244.5</v>
      </c>
    </row>
    <row r="46">
      <c r="B46" s="15" t="n">
        <v>219</v>
      </c>
      <c r="C46" s="15" t="n">
        <v>219.1</v>
      </c>
      <c r="D46" s="15" t="n">
        <v>12.7</v>
      </c>
      <c r="E46" s="15" t="n">
        <v>193.7</v>
      </c>
      <c r="F46" s="15" t="n">
        <v>244.5</v>
      </c>
    </row>
    <row r="47">
      <c r="B47" s="15" t="n">
        <v>219</v>
      </c>
      <c r="C47" s="15" t="n">
        <v>219.1</v>
      </c>
      <c r="D47" s="15" t="n">
        <v>14.2</v>
      </c>
      <c r="E47" s="15" t="n">
        <v>190.7</v>
      </c>
      <c r="F47" s="15" t="n">
        <v>244.5</v>
      </c>
    </row>
    <row r="48">
      <c r="B48" s="15" t="n">
        <v>245</v>
      </c>
      <c r="C48" s="15" t="n">
        <v>244.5</v>
      </c>
      <c r="D48" s="15" t="n">
        <v>7.9</v>
      </c>
      <c r="E48" s="15" t="n">
        <v>228.7</v>
      </c>
      <c r="F48" s="15" t="n">
        <v>269.9</v>
      </c>
    </row>
    <row r="49">
      <c r="B49" s="15" t="n">
        <v>245</v>
      </c>
      <c r="C49" s="15" t="n">
        <v>244.5</v>
      </c>
      <c r="D49" s="15" t="n">
        <v>8.9</v>
      </c>
      <c r="E49" s="15" t="n">
        <v>226.7</v>
      </c>
      <c r="F49" s="15" t="n">
        <v>269.9</v>
      </c>
    </row>
    <row r="50">
      <c r="B50" s="15" t="n">
        <v>245</v>
      </c>
      <c r="C50" s="15" t="n">
        <v>244.5</v>
      </c>
      <c r="D50" s="15" t="n">
        <v>10</v>
      </c>
      <c r="E50" s="15" t="n">
        <v>224.5</v>
      </c>
      <c r="F50" s="15" t="n">
        <v>269.9</v>
      </c>
    </row>
    <row r="51">
      <c r="B51" s="15" t="n">
        <v>245</v>
      </c>
      <c r="C51" s="15" t="n">
        <v>244.5</v>
      </c>
      <c r="D51" s="15" t="n">
        <v>11.1</v>
      </c>
      <c r="E51" s="15" t="n">
        <v>222.3</v>
      </c>
      <c r="F51" s="15" t="n">
        <v>269.9</v>
      </c>
    </row>
    <row r="52">
      <c r="B52" s="15" t="n">
        <v>245</v>
      </c>
      <c r="C52" s="15" t="n">
        <v>244.5</v>
      </c>
      <c r="D52" s="15" t="n">
        <v>12</v>
      </c>
      <c r="E52" s="15" t="n">
        <v>220.5</v>
      </c>
      <c r="F52" s="15" t="n">
        <v>269.9</v>
      </c>
    </row>
    <row r="53">
      <c r="B53" s="15" t="n">
        <v>245</v>
      </c>
      <c r="C53" s="15" t="n">
        <v>244.5</v>
      </c>
      <c r="D53" s="15" t="n">
        <v>13.8</v>
      </c>
      <c r="E53" s="15" t="n">
        <v>216.9</v>
      </c>
      <c r="F53" s="15" t="n">
        <v>269.9</v>
      </c>
    </row>
    <row r="54">
      <c r="B54" s="15" t="n">
        <v>245</v>
      </c>
      <c r="C54" s="15" t="n">
        <v>244.5</v>
      </c>
      <c r="D54" s="15" t="n">
        <v>15.9</v>
      </c>
      <c r="E54" s="15" t="n">
        <v>212.7</v>
      </c>
      <c r="F54" s="15" t="n">
        <v>269.9</v>
      </c>
    </row>
    <row r="55">
      <c r="B55" s="15" t="n">
        <v>273</v>
      </c>
      <c r="C55" s="15" t="n">
        <v>273.1</v>
      </c>
      <c r="D55" s="15" t="n">
        <v>8.9</v>
      </c>
      <c r="E55" s="15" t="n">
        <v>255.3</v>
      </c>
      <c r="F55" s="15" t="n">
        <v>298.5</v>
      </c>
    </row>
    <row r="56">
      <c r="B56" s="15" t="n">
        <v>273</v>
      </c>
      <c r="C56" s="15" t="n">
        <v>273.1</v>
      </c>
      <c r="D56" s="15" t="n">
        <v>10.2</v>
      </c>
      <c r="E56" s="15" t="n">
        <v>252.7</v>
      </c>
      <c r="F56" s="15" t="n">
        <v>298.5</v>
      </c>
    </row>
    <row r="57">
      <c r="B57" s="15" t="n">
        <v>273</v>
      </c>
      <c r="C57" s="15" t="n">
        <v>273.1</v>
      </c>
      <c r="D57" s="15" t="n">
        <v>11.4</v>
      </c>
      <c r="E57" s="15" t="n">
        <v>250.3</v>
      </c>
      <c r="F57" s="15" t="n">
        <v>298.5</v>
      </c>
    </row>
    <row r="58">
      <c r="B58" s="15" t="n">
        <v>273</v>
      </c>
      <c r="C58" s="15" t="n">
        <v>273.1</v>
      </c>
      <c r="D58" s="15" t="n">
        <v>12.6</v>
      </c>
      <c r="E58" s="15" t="n">
        <v>247.9</v>
      </c>
      <c r="F58" s="15" t="n">
        <v>298.5</v>
      </c>
    </row>
    <row r="59">
      <c r="B59" s="15" t="n">
        <v>273</v>
      </c>
      <c r="C59" s="15" t="n">
        <v>273.1</v>
      </c>
      <c r="D59" s="15" t="n">
        <v>13.8</v>
      </c>
      <c r="E59" s="15" t="n">
        <v>245.5</v>
      </c>
      <c r="F59" s="15" t="n">
        <v>298.5</v>
      </c>
    </row>
    <row r="60">
      <c r="B60" s="15" t="n">
        <v>273</v>
      </c>
      <c r="C60" s="15" t="n">
        <v>273.1</v>
      </c>
      <c r="D60" s="15" t="n">
        <v>15.1</v>
      </c>
      <c r="E60" s="15" t="n">
        <v>242.9</v>
      </c>
      <c r="F60" s="15" t="n">
        <v>298.5</v>
      </c>
    </row>
    <row r="61">
      <c r="B61" s="15" t="n">
        <v>273</v>
      </c>
      <c r="C61" s="15" t="n">
        <v>273.1</v>
      </c>
      <c r="D61" s="15" t="n">
        <v>16.5</v>
      </c>
      <c r="E61" s="15" t="n">
        <v>240.1</v>
      </c>
      <c r="F61" s="15" t="n">
        <v>298.5</v>
      </c>
    </row>
    <row r="62">
      <c r="B62" s="15" t="n">
        <v>299</v>
      </c>
      <c r="C62" s="15" t="n">
        <v>298.5</v>
      </c>
      <c r="D62" s="15" t="n">
        <v>8.5</v>
      </c>
      <c r="E62" s="15" t="n">
        <v>281.5</v>
      </c>
      <c r="F62" s="15" t="n">
        <v>323.9</v>
      </c>
    </row>
    <row r="63">
      <c r="B63" s="15" t="n">
        <v>299</v>
      </c>
      <c r="C63" s="15" t="n">
        <v>298.5</v>
      </c>
      <c r="D63" s="15" t="n">
        <v>9.5</v>
      </c>
      <c r="E63" s="15" t="n">
        <v>279.5</v>
      </c>
      <c r="F63" s="15" t="n">
        <v>323.9</v>
      </c>
    </row>
    <row r="64">
      <c r="B64" s="15" t="n">
        <v>299</v>
      </c>
      <c r="C64" s="15" t="n">
        <v>298.5</v>
      </c>
      <c r="D64" s="15" t="n">
        <v>11.1</v>
      </c>
      <c r="E64" s="15" t="n">
        <v>276.3</v>
      </c>
      <c r="F64" s="15" t="n">
        <v>323.9</v>
      </c>
    </row>
    <row r="65">
      <c r="B65" s="15" t="n">
        <v>299</v>
      </c>
      <c r="C65" s="15" t="n">
        <v>298.5</v>
      </c>
      <c r="D65" s="15" t="n">
        <v>12.4</v>
      </c>
      <c r="E65" s="15" t="n">
        <v>273.7</v>
      </c>
      <c r="F65" s="15" t="n">
        <v>323.9</v>
      </c>
    </row>
    <row r="66">
      <c r="B66" s="15" t="n">
        <v>299</v>
      </c>
      <c r="C66" s="15" t="n">
        <v>298.5</v>
      </c>
      <c r="D66" s="15" t="n">
        <v>14.8</v>
      </c>
      <c r="E66" s="15" t="n">
        <v>268.9</v>
      </c>
      <c r="F66" s="15" t="n">
        <v>323.9</v>
      </c>
    </row>
    <row r="67">
      <c r="B67" s="15" t="n">
        <v>324</v>
      </c>
      <c r="C67" s="15" t="n">
        <v>323.9</v>
      </c>
      <c r="D67" s="15" t="n">
        <v>8.5</v>
      </c>
      <c r="E67" s="15" t="n">
        <v>306.9</v>
      </c>
      <c r="F67" s="15" t="n">
        <v>351</v>
      </c>
    </row>
    <row r="68">
      <c r="B68" s="15" t="n">
        <v>324</v>
      </c>
      <c r="C68" s="15" t="n">
        <v>323.9</v>
      </c>
      <c r="D68" s="15" t="n">
        <v>9.5</v>
      </c>
      <c r="E68" s="15" t="n">
        <v>304.9</v>
      </c>
      <c r="F68" s="15" t="n">
        <v>351</v>
      </c>
    </row>
    <row r="69">
      <c r="B69" s="15" t="n">
        <v>324</v>
      </c>
      <c r="C69" s="15" t="n">
        <v>323.9</v>
      </c>
      <c r="D69" s="15" t="n">
        <v>11</v>
      </c>
      <c r="E69" s="15" t="n">
        <v>301.9</v>
      </c>
      <c r="F69" s="15" t="n">
        <v>351</v>
      </c>
    </row>
    <row r="70">
      <c r="B70" s="15" t="n">
        <v>324</v>
      </c>
      <c r="C70" s="15" t="n">
        <v>323.9</v>
      </c>
      <c r="D70" s="15" t="n">
        <v>12.4</v>
      </c>
      <c r="E70" s="15" t="n">
        <v>299.1</v>
      </c>
      <c r="F70" s="15" t="n">
        <v>351</v>
      </c>
    </row>
    <row r="71">
      <c r="B71" s="15" t="n">
        <v>324</v>
      </c>
      <c r="C71" s="15" t="n">
        <v>323.9</v>
      </c>
      <c r="D71" s="15" t="n">
        <v>14</v>
      </c>
      <c r="E71" s="15" t="n">
        <v>295.9</v>
      </c>
      <c r="F71" s="15" t="n">
        <v>351</v>
      </c>
    </row>
    <row r="72">
      <c r="B72" s="15" t="n">
        <v>340</v>
      </c>
      <c r="C72" s="15" t="n">
        <v>339.7</v>
      </c>
      <c r="D72" s="15" t="n">
        <v>9.699999999999999</v>
      </c>
      <c r="E72" s="15" t="n">
        <v>320.3</v>
      </c>
      <c r="F72" s="15" t="n">
        <v>365.1</v>
      </c>
    </row>
    <row r="73">
      <c r="B73" s="15" t="n">
        <v>340</v>
      </c>
      <c r="C73" s="15" t="n">
        <v>339.7</v>
      </c>
      <c r="D73" s="15" t="n">
        <v>10.9</v>
      </c>
      <c r="E73" s="15" t="n">
        <v>317.9</v>
      </c>
      <c r="F73" s="15" t="n">
        <v>365.1</v>
      </c>
    </row>
    <row r="74">
      <c r="B74" s="15" t="n">
        <v>340</v>
      </c>
      <c r="C74" s="15" t="n">
        <v>339.7</v>
      </c>
      <c r="D74" s="15" t="n">
        <v>12.2</v>
      </c>
      <c r="E74" s="15" t="n">
        <v>315.3</v>
      </c>
      <c r="F74" s="15" t="n">
        <v>365.1</v>
      </c>
    </row>
    <row r="75">
      <c r="B75" s="15" t="n">
        <v>340</v>
      </c>
      <c r="C75" s="15" t="n">
        <v>339.7</v>
      </c>
      <c r="D75" s="15" t="n">
        <v>13.1</v>
      </c>
      <c r="E75" s="15" t="n">
        <v>313.5</v>
      </c>
      <c r="F75" s="15" t="n">
        <v>365.1</v>
      </c>
    </row>
    <row r="76">
      <c r="B76" s="15" t="n">
        <v>340</v>
      </c>
      <c r="C76" s="15" t="n">
        <v>339.7</v>
      </c>
      <c r="D76" s="15" t="n">
        <v>14</v>
      </c>
      <c r="E76" s="15" t="n">
        <v>311.7</v>
      </c>
      <c r="F76" s="15" t="n">
        <v>365.1</v>
      </c>
    </row>
    <row r="77">
      <c r="B77" s="15" t="n">
        <v>340</v>
      </c>
      <c r="C77" s="15" t="n">
        <v>339.7</v>
      </c>
      <c r="D77" s="15" t="n">
        <v>15.4</v>
      </c>
      <c r="E77" s="15" t="n">
        <v>308.9</v>
      </c>
      <c r="F77" s="15" t="n">
        <v>365.1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B1:B45"/>
  <sheetViews>
    <sheetView zoomScale="100" workbookViewId="0">
      <selection activeCell="A1" sqref="A1"/>
    </sheetView>
  </sheetViews>
  <sheetFormatPr baseColWidth="8" defaultRowHeight="15"/>
  <cols>
    <col width="3" customWidth="1" min="1" max="1"/>
    <col width="16" customWidth="1" min="2" max="2"/>
  </cols>
  <sheetData>
    <row r="1">
      <c r="B1" s="1" t="inlineStr">
        <is>
          <t>Ряд диаметров шарошечных долот, мм</t>
        </is>
      </c>
    </row>
    <row r="3">
      <c r="B3" s="2" t="inlineStr">
        <is>
          <t>D долота</t>
        </is>
      </c>
    </row>
    <row r="4">
      <c r="B4" s="15" t="n">
        <v>76</v>
      </c>
    </row>
    <row r="5">
      <c r="B5" s="15" t="n">
        <v>93</v>
      </c>
    </row>
    <row r="6">
      <c r="B6" s="15" t="n">
        <v>95.3</v>
      </c>
    </row>
    <row r="7">
      <c r="B7" s="15" t="n">
        <v>98.40000000000001</v>
      </c>
    </row>
    <row r="8">
      <c r="B8" s="15" t="n">
        <v>114.3</v>
      </c>
    </row>
    <row r="9">
      <c r="B9" s="15" t="n">
        <v>117.5</v>
      </c>
    </row>
    <row r="10">
      <c r="B10" s="15" t="n">
        <v>120.6</v>
      </c>
    </row>
    <row r="11">
      <c r="B11" s="15" t="n">
        <v>127</v>
      </c>
    </row>
    <row r="12">
      <c r="B12" s="15" t="n">
        <v>130.2</v>
      </c>
    </row>
    <row r="13">
      <c r="B13" s="15" t="n">
        <v>132</v>
      </c>
    </row>
    <row r="14">
      <c r="B14" s="15" t="n">
        <v>139.7</v>
      </c>
    </row>
    <row r="15">
      <c r="B15" s="15" t="n">
        <v>146</v>
      </c>
    </row>
    <row r="16">
      <c r="B16" s="15" t="n">
        <v>151</v>
      </c>
    </row>
    <row r="17">
      <c r="B17" s="15" t="n">
        <v>161</v>
      </c>
    </row>
    <row r="18">
      <c r="B18" s="15" t="n">
        <v>165.1</v>
      </c>
    </row>
    <row r="19">
      <c r="B19" s="15" t="n">
        <v>171.4</v>
      </c>
    </row>
    <row r="20">
      <c r="B20" s="15" t="n">
        <v>187.3</v>
      </c>
    </row>
    <row r="21">
      <c r="B21" s="15" t="n">
        <v>190.5</v>
      </c>
    </row>
    <row r="22">
      <c r="B22" s="15" t="n">
        <v>200</v>
      </c>
    </row>
    <row r="23">
      <c r="B23" s="15" t="n">
        <v>212.7</v>
      </c>
    </row>
    <row r="24">
      <c r="B24" s="15" t="n">
        <v>215.9</v>
      </c>
    </row>
    <row r="25">
      <c r="B25" s="15" t="n">
        <v>222.3</v>
      </c>
    </row>
    <row r="26">
      <c r="B26" s="15" t="n">
        <v>238.1</v>
      </c>
    </row>
    <row r="27">
      <c r="B27" s="15" t="n">
        <v>241.3</v>
      </c>
    </row>
    <row r="28">
      <c r="B28" s="15" t="n">
        <v>244.5</v>
      </c>
    </row>
    <row r="29">
      <c r="B29" s="15" t="n">
        <v>250.8</v>
      </c>
    </row>
    <row r="30">
      <c r="B30" s="15" t="n">
        <v>269.9</v>
      </c>
    </row>
    <row r="31">
      <c r="B31" s="15" t="n">
        <v>295.3</v>
      </c>
    </row>
    <row r="32">
      <c r="B32" s="15" t="n">
        <v>304.8</v>
      </c>
    </row>
    <row r="33">
      <c r="B33" s="15" t="n">
        <v>311.1</v>
      </c>
    </row>
    <row r="34">
      <c r="B34" s="15" t="n">
        <v>320</v>
      </c>
    </row>
    <row r="35">
      <c r="B35" s="15" t="n">
        <v>349.2</v>
      </c>
    </row>
    <row r="36">
      <c r="B36" s="15" t="n">
        <v>365.1</v>
      </c>
    </row>
    <row r="37">
      <c r="B37" s="15" t="n">
        <v>368.3</v>
      </c>
    </row>
    <row r="38">
      <c r="B38" s="15" t="n">
        <v>371.5</v>
      </c>
    </row>
    <row r="39">
      <c r="B39" s="15" t="n">
        <v>374.6</v>
      </c>
    </row>
    <row r="40">
      <c r="B40" s="15" t="n">
        <v>393.7</v>
      </c>
    </row>
    <row r="41">
      <c r="B41" s="15" t="n">
        <v>444.5</v>
      </c>
    </row>
    <row r="42">
      <c r="B42" s="15" t="n">
        <v>469.9</v>
      </c>
    </row>
    <row r="43">
      <c r="B43" s="15" t="n">
        <v>473.1</v>
      </c>
    </row>
    <row r="44">
      <c r="B44" s="15" t="n">
        <v>490</v>
      </c>
    </row>
    <row r="45">
      <c r="B45" s="15" t="n">
        <v>508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2026-10-07T14:42:21Z</dcterms:created>
  <dcterms:modified xmlns:dcterms="http://purl.org/dc/terms/" xmlns:xsi="http://www.w3.org/2001/XMLSchema-instance" xsi:type="dcterms:W3CDTF">2026-10-07T14:42:21Z</dcterms:modified>
</cp:coreProperties>
</file>