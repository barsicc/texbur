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Тимур\Desktop\"/>
    </mc:Choice>
  </mc:AlternateContent>
  <xr:revisionPtr revIDLastSave="0" documentId="13_ncr:1_{D45F7644-7E19-43C2-B262-CC66074C4F4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" l="1"/>
  <c r="D20" i="1"/>
  <c r="F20" i="1" s="1"/>
  <c r="E19" i="1"/>
  <c r="D19" i="1"/>
  <c r="F19" i="1" s="1"/>
  <c r="E18" i="1"/>
  <c r="D18" i="1"/>
  <c r="F18" i="1" s="1"/>
  <c r="E17" i="1"/>
  <c r="D17" i="1"/>
  <c r="F17" i="1" s="1"/>
  <c r="E16" i="1"/>
  <c r="D16" i="1"/>
  <c r="F16" i="1" s="1"/>
  <c r="R14" i="1"/>
  <c r="P14" i="1"/>
  <c r="N14" i="1"/>
  <c r="R11" i="1"/>
  <c r="P11" i="1"/>
</calcChain>
</file>

<file path=xl/sharedStrings.xml><?xml version="1.0" encoding="utf-8"?>
<sst xmlns="http://schemas.openxmlformats.org/spreadsheetml/2006/main" count="44" uniqueCount="44">
  <si>
    <t>Исходные данные</t>
  </si>
  <si>
    <t>Интервал залегания</t>
  </si>
  <si>
    <t>Порода</t>
  </si>
  <si>
    <t>Давления, МПа</t>
  </si>
  <si>
    <t>верхняя граница</t>
  </si>
  <si>
    <t>нижняя граница</t>
  </si>
  <si>
    <t xml:space="preserve">Пластовое </t>
  </si>
  <si>
    <t>Поглощения</t>
  </si>
  <si>
    <t>алевролит</t>
  </si>
  <si>
    <t>глина голубая</t>
  </si>
  <si>
    <t>песчаник</t>
  </si>
  <si>
    <t>Эксплуатационная</t>
  </si>
  <si>
    <t>Промежуточная</t>
  </si>
  <si>
    <t>Кондуктор</t>
  </si>
  <si>
    <t>известняк</t>
  </si>
  <si>
    <t>длина</t>
  </si>
  <si>
    <t>L ,м</t>
  </si>
  <si>
    <t>ном. диаметр</t>
  </si>
  <si>
    <t>Dн</t>
  </si>
  <si>
    <t>нар. диам.</t>
  </si>
  <si>
    <t>D</t>
  </si>
  <si>
    <t>внутр. диам.</t>
  </si>
  <si>
    <t>d</t>
  </si>
  <si>
    <t>диам. Муфты</t>
  </si>
  <si>
    <r>
      <t>d</t>
    </r>
    <r>
      <rPr>
        <sz val="9"/>
        <color theme="1"/>
        <rFont val="Calibri"/>
        <family val="2"/>
        <charset val="204"/>
        <scheme val="minor"/>
      </rPr>
      <t>m</t>
    </r>
  </si>
  <si>
    <t>зазор</t>
  </si>
  <si>
    <t xml:space="preserve">Δ </t>
  </si>
  <si>
    <r>
      <t xml:space="preserve">Рассчет индексов давлений и </t>
    </r>
    <r>
      <rPr>
        <sz val="11"/>
        <color theme="1"/>
        <rFont val="Calibri"/>
        <family val="2"/>
        <charset val="204"/>
      </rPr>
      <t>ρ</t>
    </r>
    <r>
      <rPr>
        <sz val="11"/>
        <color theme="1"/>
        <rFont val="Calibri"/>
        <family val="2"/>
      </rPr>
      <t xml:space="preserve"> б.р.</t>
    </r>
  </si>
  <si>
    <t xml:space="preserve">Ks </t>
  </si>
  <si>
    <t>при z &lt; 1200</t>
  </si>
  <si>
    <t>диам. Долота</t>
  </si>
  <si>
    <r>
      <t>D</t>
    </r>
    <r>
      <rPr>
        <sz val="8"/>
        <color theme="1"/>
        <rFont val="Calibri"/>
        <family val="2"/>
        <charset val="204"/>
        <scheme val="minor"/>
      </rPr>
      <t>B</t>
    </r>
  </si>
  <si>
    <t>z, метры</t>
  </si>
  <si>
    <r>
      <t>K</t>
    </r>
    <r>
      <rPr>
        <sz val="8"/>
        <color theme="1"/>
        <rFont val="Calibri"/>
        <family val="2"/>
        <charset val="204"/>
        <scheme val="minor"/>
      </rPr>
      <t>F</t>
    </r>
  </si>
  <si>
    <r>
      <t>K</t>
    </r>
    <r>
      <rPr>
        <sz val="8"/>
        <color theme="1"/>
        <rFont val="Calibri"/>
        <family val="2"/>
        <charset val="204"/>
        <scheme val="minor"/>
      </rPr>
      <t>FR</t>
    </r>
  </si>
  <si>
    <r>
      <rPr>
        <sz val="14"/>
        <color theme="1"/>
        <rFont val="Calibri"/>
        <family val="2"/>
        <charset val="204"/>
        <scheme val="minor"/>
      </rPr>
      <t>ρ</t>
    </r>
    <r>
      <rPr>
        <sz val="8"/>
        <color theme="1"/>
        <rFont val="Calibri"/>
        <family val="2"/>
        <charset val="204"/>
        <scheme val="minor"/>
      </rPr>
      <t>R</t>
    </r>
  </si>
  <si>
    <t>при z &gt; 1200</t>
  </si>
  <si>
    <t>из справочника</t>
  </si>
  <si>
    <r>
      <t>D</t>
    </r>
    <r>
      <rPr>
        <sz val="9"/>
        <color theme="1"/>
        <rFont val="Calibri"/>
        <family val="2"/>
        <charset val="204"/>
        <scheme val="minor"/>
      </rPr>
      <t>B из спр.</t>
    </r>
  </si>
  <si>
    <t>0-800</t>
  </si>
  <si>
    <t>800-1000</t>
  </si>
  <si>
    <t>1000-1200</t>
  </si>
  <si>
    <t>1000-1900</t>
  </si>
  <si>
    <t>1900-2100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</si>
</sst>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0"/>
  <sheetViews>
    <sheetView tabSelected="1" workbookViewId="0">
      <selection activeCell="L19" sqref="L19"/>
    </sheetView>
  </sheetViews>
  <sheetFormatPr defaultRowHeight="14.4" x14ac:dyDescent="0.3"/>
  <cols>
    <col min="6" max="6" width="16.33203125" customWidth="1"/>
    <col min="7" max="7" width="15.5546875" customWidth="1"/>
    <col min="10" max="10" width="14.44140625" customWidth="1"/>
    <col min="12" max="12" width="21.33203125" customWidth="1"/>
  </cols>
  <sheetData>
    <row r="2" spans="2:19" x14ac:dyDescent="0.3">
      <c r="B2" s="18" t="s">
        <v>0</v>
      </c>
      <c r="C2" s="18"/>
      <c r="D2" s="18"/>
      <c r="E2" s="18"/>
      <c r="F2" s="18"/>
      <c r="G2" s="18"/>
    </row>
    <row r="3" spans="2:19" x14ac:dyDescent="0.3">
      <c r="B3" s="19" t="s">
        <v>1</v>
      </c>
      <c r="C3" s="19"/>
      <c r="D3" s="20" t="s">
        <v>2</v>
      </c>
      <c r="E3" s="20"/>
      <c r="F3" s="21" t="s">
        <v>3</v>
      </c>
      <c r="G3" s="21"/>
    </row>
    <row r="4" spans="2:19" ht="28.8" x14ac:dyDescent="0.3">
      <c r="B4" s="1" t="s">
        <v>4</v>
      </c>
      <c r="C4" s="1" t="s">
        <v>5</v>
      </c>
      <c r="D4" s="20"/>
      <c r="E4" s="20"/>
      <c r="F4" s="2" t="s">
        <v>6</v>
      </c>
      <c r="G4" s="2" t="s">
        <v>7</v>
      </c>
    </row>
    <row r="5" spans="2:19" x14ac:dyDescent="0.3">
      <c r="B5" s="3">
        <v>0</v>
      </c>
      <c r="C5" s="4">
        <v>800</v>
      </c>
      <c r="D5" s="14" t="s">
        <v>8</v>
      </c>
      <c r="E5" s="14"/>
      <c r="F5" s="5">
        <v>8</v>
      </c>
      <c r="G5" s="5">
        <v>9.6</v>
      </c>
    </row>
    <row r="6" spans="2:19" x14ac:dyDescent="0.3">
      <c r="B6" s="3">
        <v>800</v>
      </c>
      <c r="C6" s="6">
        <v>1000</v>
      </c>
      <c r="D6" s="14" t="s">
        <v>9</v>
      </c>
      <c r="E6" s="14"/>
      <c r="F6" s="5">
        <v>8.8000000000000007</v>
      </c>
      <c r="G6" s="5">
        <v>12.5</v>
      </c>
    </row>
    <row r="7" spans="2:19" x14ac:dyDescent="0.3">
      <c r="B7" s="3">
        <v>1000</v>
      </c>
      <c r="C7" s="6">
        <v>1900</v>
      </c>
      <c r="D7" s="14" t="s">
        <v>10</v>
      </c>
      <c r="E7" s="14"/>
      <c r="F7" s="5">
        <v>23.8</v>
      </c>
      <c r="G7" s="5">
        <v>28.5</v>
      </c>
      <c r="N7" s="15" t="s">
        <v>11</v>
      </c>
      <c r="O7" s="15"/>
      <c r="P7" s="16" t="s">
        <v>12</v>
      </c>
      <c r="Q7" s="16"/>
      <c r="R7" s="17" t="s">
        <v>13</v>
      </c>
      <c r="S7" s="17"/>
    </row>
    <row r="8" spans="2:19" x14ac:dyDescent="0.3">
      <c r="B8" s="3">
        <v>1900</v>
      </c>
      <c r="C8" s="6">
        <v>2100</v>
      </c>
      <c r="D8" s="14" t="s">
        <v>14</v>
      </c>
      <c r="E8" s="14"/>
      <c r="F8" s="5">
        <v>27.3</v>
      </c>
      <c r="G8" s="5">
        <v>30.5</v>
      </c>
      <c r="L8" s="7" t="s">
        <v>15</v>
      </c>
      <c r="M8" s="2" t="s">
        <v>16</v>
      </c>
      <c r="N8" s="14">
        <v>2100</v>
      </c>
      <c r="O8" s="14"/>
      <c r="P8" s="14">
        <v>1010</v>
      </c>
      <c r="Q8" s="14"/>
      <c r="R8" s="14">
        <v>260</v>
      </c>
      <c r="S8" s="14"/>
    </row>
    <row r="9" spans="2:19" x14ac:dyDescent="0.3">
      <c r="L9" s="7" t="s">
        <v>17</v>
      </c>
      <c r="M9" s="2" t="s">
        <v>18</v>
      </c>
      <c r="N9" s="14">
        <v>114</v>
      </c>
      <c r="O9" s="14"/>
      <c r="P9" s="14">
        <v>178</v>
      </c>
      <c r="Q9" s="14"/>
      <c r="R9" s="14">
        <v>273</v>
      </c>
      <c r="S9" s="14"/>
    </row>
    <row r="10" spans="2:19" x14ac:dyDescent="0.3">
      <c r="L10" s="7" t="s">
        <v>19</v>
      </c>
      <c r="M10" s="2" t="s">
        <v>20</v>
      </c>
      <c r="N10" s="14">
        <v>114.3</v>
      </c>
      <c r="O10" s="14"/>
      <c r="P10" s="14">
        <v>177.8</v>
      </c>
      <c r="Q10" s="14"/>
      <c r="R10" s="14">
        <v>273.10000000000002</v>
      </c>
      <c r="S10" s="14"/>
    </row>
    <row r="11" spans="2:19" x14ac:dyDescent="0.3">
      <c r="L11" s="7" t="s">
        <v>21</v>
      </c>
      <c r="M11" s="2" t="s">
        <v>22</v>
      </c>
      <c r="N11" s="14"/>
      <c r="O11" s="14"/>
      <c r="P11" s="14">
        <f>N15+2*5</f>
        <v>156</v>
      </c>
      <c r="Q11" s="14"/>
      <c r="R11" s="14">
        <f>P15+2*10</f>
        <v>242.3</v>
      </c>
      <c r="S11" s="14"/>
    </row>
    <row r="12" spans="2:19" x14ac:dyDescent="0.3">
      <c r="L12" s="7" t="s">
        <v>23</v>
      </c>
      <c r="M12" s="2" t="s">
        <v>24</v>
      </c>
      <c r="N12" s="12">
        <v>127</v>
      </c>
      <c r="O12" s="12"/>
      <c r="P12" s="12">
        <v>194.5</v>
      </c>
      <c r="Q12" s="12"/>
      <c r="R12" s="12">
        <v>285.8</v>
      </c>
      <c r="S12" s="12"/>
    </row>
    <row r="13" spans="2:19" x14ac:dyDescent="0.3">
      <c r="L13" s="7" t="s">
        <v>25</v>
      </c>
      <c r="M13" s="2" t="s">
        <v>26</v>
      </c>
      <c r="N13" s="12">
        <v>8</v>
      </c>
      <c r="O13" s="12"/>
      <c r="P13" s="12">
        <v>13</v>
      </c>
      <c r="Q13" s="12"/>
      <c r="R13" s="12">
        <v>18</v>
      </c>
      <c r="S13" s="12"/>
    </row>
    <row r="14" spans="2:19" x14ac:dyDescent="0.3">
      <c r="C14" s="13" t="s">
        <v>27</v>
      </c>
      <c r="D14" s="13"/>
      <c r="E14" s="13"/>
      <c r="F14" s="13"/>
      <c r="H14" s="8" t="s">
        <v>28</v>
      </c>
      <c r="I14" s="6">
        <v>1.1000000000000001</v>
      </c>
      <c r="J14" s="6" t="s">
        <v>29</v>
      </c>
      <c r="K14" s="9"/>
      <c r="L14" s="7" t="s">
        <v>30</v>
      </c>
      <c r="M14" s="2" t="s">
        <v>31</v>
      </c>
      <c r="N14" s="12">
        <f>N12+2*N13</f>
        <v>143</v>
      </c>
      <c r="O14" s="12"/>
      <c r="P14" s="12">
        <f>P12+2*P13</f>
        <v>220.5</v>
      </c>
      <c r="Q14" s="12"/>
      <c r="R14" s="12">
        <f>R12+2*R13</f>
        <v>321.8</v>
      </c>
      <c r="S14" s="12"/>
    </row>
    <row r="15" spans="2:19" ht="18" x14ac:dyDescent="0.3">
      <c r="C15" s="6" t="s">
        <v>32</v>
      </c>
      <c r="D15" s="6" t="s">
        <v>33</v>
      </c>
      <c r="E15" s="6" t="s">
        <v>34</v>
      </c>
      <c r="F15" s="10" t="s">
        <v>35</v>
      </c>
      <c r="I15" s="6">
        <v>1.05</v>
      </c>
      <c r="J15" s="6" t="s">
        <v>36</v>
      </c>
      <c r="K15" s="9"/>
      <c r="L15" s="7" t="s">
        <v>37</v>
      </c>
      <c r="M15" s="2" t="s">
        <v>38</v>
      </c>
      <c r="N15" s="12">
        <v>146</v>
      </c>
      <c r="O15" s="12"/>
      <c r="P15" s="12">
        <v>222.3</v>
      </c>
      <c r="Q15" s="12"/>
      <c r="R15" s="12">
        <v>349.2</v>
      </c>
      <c r="S15" s="12"/>
    </row>
    <row r="16" spans="2:19" x14ac:dyDescent="0.3">
      <c r="C16" s="6" t="s">
        <v>39</v>
      </c>
      <c r="D16" s="11">
        <f>F5*10^6/C5/9.81/1000</f>
        <v>1.019367991845056</v>
      </c>
      <c r="E16" s="11">
        <f>G5*10^6/C5/9.81/1000</f>
        <v>1.2232415902140672</v>
      </c>
      <c r="F16" s="11">
        <f>$I$14*D16</f>
        <v>1.1213047910295617</v>
      </c>
    </row>
    <row r="17" spans="3:6" x14ac:dyDescent="0.3">
      <c r="C17" s="6" t="s">
        <v>40</v>
      </c>
      <c r="D17" s="11">
        <f t="shared" ref="D17" si="0">F6*10^6/C6/9.81/1000</f>
        <v>0.8970438328236493</v>
      </c>
      <c r="E17" s="11">
        <f t="shared" ref="E17" si="1">G6*10^6/C6/9.81/1000</f>
        <v>1.2742099898063199</v>
      </c>
      <c r="F17" s="11">
        <f>$I$14*D17</f>
        <v>0.98674821610601426</v>
      </c>
    </row>
    <row r="18" spans="3:6" x14ac:dyDescent="0.3">
      <c r="C18" s="6" t="s">
        <v>41</v>
      </c>
      <c r="D18" s="11">
        <f>F7*10^6/C7/9.81/1000</f>
        <v>1.2768925371532807</v>
      </c>
      <c r="E18" s="11">
        <f>G7*10^6/C7/9.81/1000</f>
        <v>1.5290519877675841</v>
      </c>
      <c r="F18" s="11">
        <f>D18*I14</f>
        <v>1.4045817908686089</v>
      </c>
    </row>
    <row r="19" spans="3:6" x14ac:dyDescent="0.3">
      <c r="C19" s="6" t="s">
        <v>42</v>
      </c>
      <c r="D19" s="11">
        <f>F7*10^6/C7/9.81/1000</f>
        <v>1.2768925371532807</v>
      </c>
      <c r="E19" s="11">
        <f>G7*10^6/C7/9.81/1000</f>
        <v>1.5290519877675841</v>
      </c>
      <c r="F19" s="11">
        <f>$I$15*D19</f>
        <v>1.3407371640109447</v>
      </c>
    </row>
    <row r="20" spans="3:6" x14ac:dyDescent="0.3">
      <c r="C20" s="6" t="s">
        <v>43</v>
      </c>
      <c r="D20" s="11">
        <f>F8*10^6/C8/9.81/1000</f>
        <v>1.3251783893985727</v>
      </c>
      <c r="E20" s="11">
        <f>G8*10^6/C8/9.81/1000</f>
        <v>1.4805106548225813</v>
      </c>
      <c r="F20" s="11">
        <f>$I$15*D20</f>
        <v>1.3914373088685015</v>
      </c>
    </row>
  </sheetData>
  <mergeCells count="36">
    <mergeCell ref="D6:E6"/>
    <mergeCell ref="B2:G2"/>
    <mergeCell ref="B3:C3"/>
    <mergeCell ref="D3:E4"/>
    <mergeCell ref="F3:G3"/>
    <mergeCell ref="D5:E5"/>
    <mergeCell ref="D7:E7"/>
    <mergeCell ref="N7:O7"/>
    <mergeCell ref="P7:Q7"/>
    <mergeCell ref="R7:S7"/>
    <mergeCell ref="D8:E8"/>
    <mergeCell ref="N8:O8"/>
    <mergeCell ref="P8:Q8"/>
    <mergeCell ref="R8:S8"/>
    <mergeCell ref="N9:O9"/>
    <mergeCell ref="P9:Q9"/>
    <mergeCell ref="R9:S9"/>
    <mergeCell ref="N10:O10"/>
    <mergeCell ref="P10:Q10"/>
    <mergeCell ref="R10:S10"/>
    <mergeCell ref="C14:F14"/>
    <mergeCell ref="N14:O14"/>
    <mergeCell ref="P14:Q14"/>
    <mergeCell ref="R14:S14"/>
    <mergeCell ref="N11:O11"/>
    <mergeCell ref="P11:Q11"/>
    <mergeCell ref="R11:S11"/>
    <mergeCell ref="N12:O12"/>
    <mergeCell ref="P12:Q12"/>
    <mergeCell ref="R12:S12"/>
    <mergeCell ref="N15:O15"/>
    <mergeCell ref="P15:Q15"/>
    <mergeCell ref="R15:S15"/>
    <mergeCell ref="N13:O13"/>
    <mergeCell ref="P13:Q13"/>
    <mergeCell ref="R13:S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Тимур</dc:creator>
  <cp:lastModifiedBy>Тимур</cp:lastModifiedBy>
  <dcterms:created xsi:type="dcterms:W3CDTF">2015-06-05T18:19:34Z</dcterms:created>
  <dcterms:modified xsi:type="dcterms:W3CDTF">2024-10-06T08:22:20Z</dcterms:modified>
</cp:coreProperties>
</file>